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8595" windowWidth="29040" windowHeight="15720" tabRatio="600" firstSheet="0" activeTab="2" autoFilterDateGrouping="1"/>
  </bookViews>
  <sheets>
    <sheet name="DESARROLLO" sheetId="1" state="visible" r:id="rId1"/>
    <sheet name="DATOS" sheetId="2" state="visible" r:id="rId2"/>
    <sheet name="CONTROL" sheetId="3" state="visible" r:id="rId3"/>
    <sheet name="RESUMEN_HIST" sheetId="4" state="visible" r:id="rId4"/>
  </sheets>
  <definedNames>
    <definedName name="_xleta.AND" hidden="1" xlm="1">#NAME?</definedName>
  </definedNames>
  <calcPr calcId="191029" fullCalcOnLoad="1"/>
  <pivotCaches>
    <pivotCache cacheId="5" r:id="rId5"/>
  </pivotCaches>
</workbook>
</file>

<file path=xl/styles.xml><?xml version="1.0" encoding="utf-8"?>
<styleSheet xmlns="http://schemas.openxmlformats.org/spreadsheetml/2006/main">
  <numFmts count="9">
    <numFmt numFmtId="164" formatCode="_ * #,##0_ ;_ * \-#,##0_ ;_ * &quot;-&quot;_ ;_ @_ "/>
    <numFmt numFmtId="165" formatCode="_-* #,##0_-;\-* #,##0_-;_-* &quot;-&quot;??_-;_-@_-"/>
    <numFmt numFmtId="166" formatCode="yyyy\-mm\-dd\ h:mm:ss"/>
    <numFmt numFmtId="167" formatCode="_-* #,##0.00_-;\-* #,##0.00_-;_-* &quot;-&quot;??_-;_-@_-"/>
    <numFmt numFmtId="168" formatCode="dd\-mm\-yyyy"/>
    <numFmt numFmtId="169" formatCode="_ * #,##0.00_ ;_ * \-#,##0.00_ ;_ * &quot;-&quot;_ ;_ @_ "/>
    <numFmt numFmtId="170" formatCode="0.0"/>
    <numFmt numFmtId="171" formatCode="dd-mm-yyyy"/>
    <numFmt numFmtId="172" formatCode="yyyy-mm-dd h:mm:ss"/>
  </numFmts>
  <fonts count="10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MS Sans Serif"/>
      <family val="2"/>
      <color indexed="8"/>
      <sz val="10"/>
    </font>
    <font>
      <name val="MS Sans Serif"/>
      <family val="2"/>
      <b val="1"/>
      <color indexed="8"/>
      <sz val="9"/>
    </font>
    <font>
      <name val="Arial"/>
      <family val="2"/>
      <b val="1"/>
      <color theme="1"/>
      <sz val="10"/>
    </font>
    <font>
      <name val="Arial"/>
      <family val="2"/>
      <color indexed="8"/>
      <sz val="7.2"/>
    </font>
    <font>
      <name val="Arial"/>
      <family val="2"/>
      <color theme="1"/>
      <sz val="10"/>
    </font>
    <font>
      <name val="Aptos Narrow"/>
      <family val="2"/>
      <b val="1"/>
      <color theme="1"/>
      <sz val="14"/>
      <scheme val="minor"/>
    </font>
    <font>
      <name val="Aptos Narrow"/>
      <family val="2"/>
      <color theme="1"/>
      <sz val="12"/>
      <scheme val="minor"/>
    </font>
  </fonts>
  <fills count="6">
    <fill>
      <patternFill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1" fillId="0" borderId="0"/>
    <xf numFmtId="41" fontId="1" fillId="0" borderId="0"/>
    <xf numFmtId="9" fontId="1" fillId="0" borderId="0"/>
    <xf numFmtId="0" fontId="3" fillId="0" borderId="0"/>
    <xf numFmtId="43" fontId="6" fillId="0" borderId="0"/>
  </cellStyleXfs>
  <cellXfs count="73">
    <xf numFmtId="0" fontId="0" fillId="0" borderId="0" pivotButton="0" quotePrefix="0" xfId="0"/>
    <xf numFmtId="14" fontId="0" fillId="0" borderId="0" pivotButton="0" quotePrefix="0" xfId="1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14" fontId="0" fillId="0" borderId="0" pivotButton="0" quotePrefix="0" xfId="0"/>
    <xf numFmtId="164" fontId="1" fillId="0" borderId="0" pivotButton="0" quotePrefix="0" xfId="1"/>
    <xf numFmtId="0" fontId="4" fillId="4" borderId="2" pivotButton="0" quotePrefix="0" xfId="3"/>
    <xf numFmtId="0" fontId="4" fillId="4" borderId="3" pivotButton="0" quotePrefix="0" xfId="3"/>
    <xf numFmtId="0" fontId="4" fillId="4" borderId="4" pivotButton="0" quotePrefix="0" xfId="3"/>
    <xf numFmtId="0" fontId="5" fillId="0" borderId="5" applyAlignment="1" pivotButton="0" quotePrefix="0" xfId="3">
      <alignment vertical="center" wrapText="1"/>
    </xf>
    <xf numFmtId="165" fontId="5" fillId="0" borderId="5" applyAlignment="1" pivotButton="0" quotePrefix="0" xfId="4">
      <alignment horizontal="center" vertical="center" wrapText="1"/>
    </xf>
    <xf numFmtId="165" fontId="5" fillId="0" borderId="6" applyAlignment="1" pivotButton="0" quotePrefix="0" xfId="4">
      <alignment horizontal="center" vertical="center" wrapText="1"/>
    </xf>
    <xf numFmtId="0" fontId="5" fillId="0" borderId="1" applyAlignment="1" pivotButton="0" quotePrefix="0" xfId="3">
      <alignment horizontal="center" vertical="center" wrapText="1"/>
    </xf>
    <xf numFmtId="165" fontId="7" fillId="0" borderId="5" pivotButton="0" quotePrefix="0" xfId="4"/>
    <xf numFmtId="165" fontId="7" fillId="0" borderId="6" pivotButton="0" quotePrefix="0" xfId="4"/>
    <xf numFmtId="165" fontId="8" fillId="4" borderId="1" pivotButton="0" quotePrefix="0" xfId="0"/>
    <xf numFmtId="49" fontId="7" fillId="0" borderId="7" applyAlignment="1" pivotButton="0" quotePrefix="0" xfId="3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/>
    </xf>
    <xf numFmtId="14" fontId="4" fillId="3" borderId="1" applyAlignment="1" pivotButton="0" quotePrefix="0" xfId="3">
      <alignment horizontal="center" vertical="center"/>
    </xf>
    <xf numFmtId="165" fontId="5" fillId="0" borderId="1" applyAlignment="1" pivotButton="0" quotePrefix="0" xfId="4">
      <alignment horizontal="center" vertical="center"/>
    </xf>
    <xf numFmtId="165" fontId="5" fillId="0" borderId="4" applyAlignment="1" pivotButton="0" quotePrefix="0" xfId="4">
      <alignment horizontal="center" vertical="center"/>
    </xf>
    <xf numFmtId="0" fontId="0" fillId="0" borderId="5" pivotButton="0" quotePrefix="0" xfId="0"/>
    <xf numFmtId="0" fontId="0" fillId="0" borderId="9" pivotButton="0" quotePrefix="0" xfId="0"/>
    <xf numFmtId="0" fontId="0" fillId="0" borderId="7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5" borderId="0" pivotButton="0" quotePrefix="0" xfId="0"/>
    <xf numFmtId="0" fontId="5" fillId="5" borderId="5" applyAlignment="1" pivotButton="0" quotePrefix="0" xfId="3">
      <alignment vertical="center" wrapText="1"/>
    </xf>
    <xf numFmtId="165" fontId="5" fillId="5" borderId="5" applyAlignment="1" pivotButton="0" quotePrefix="0" xfId="4">
      <alignment horizontal="center" vertical="center" wrapText="1"/>
    </xf>
    <xf numFmtId="165" fontId="5" fillId="5" borderId="6" applyAlignment="1" pivotButton="0" quotePrefix="0" xfId="4">
      <alignment horizontal="center" vertical="center" wrapText="1"/>
    </xf>
    <xf numFmtId="0" fontId="5" fillId="5" borderId="1" applyAlignment="1" pivotButton="0" quotePrefix="0" xfId="3">
      <alignment horizontal="center" vertical="center" wrapText="1"/>
    </xf>
    <xf numFmtId="165" fontId="5" fillId="5" borderId="1" applyAlignment="1" pivotButton="0" quotePrefix="0" xfId="4">
      <alignment horizontal="center" vertical="center"/>
    </xf>
    <xf numFmtId="165" fontId="5" fillId="5" borderId="4" applyAlignment="1" pivotButton="0" quotePrefix="0" xfId="4">
      <alignment horizontal="center" vertical="center"/>
    </xf>
    <xf numFmtId="49" fontId="7" fillId="5" borderId="7" applyAlignment="1" pivotButton="0" quotePrefix="0" xfId="3">
      <alignment horizontal="center" vertical="center"/>
    </xf>
    <xf numFmtId="10" fontId="7" fillId="5" borderId="1" applyAlignment="1" pivotButton="0" quotePrefix="0" xfId="2">
      <alignment horizontal="center"/>
    </xf>
    <xf numFmtId="0" fontId="2" fillId="5" borderId="2" applyAlignment="1" pivotButton="0" quotePrefix="0" xfId="0">
      <alignment horizontal="center" vertical="center"/>
    </xf>
    <xf numFmtId="0" fontId="2" fillId="5" borderId="2" applyAlignment="1" pivotButton="0" quotePrefix="0" xfId="0">
      <alignment horizontal="center"/>
    </xf>
    <xf numFmtId="0" fontId="2" fillId="5" borderId="8" pivotButton="0" quotePrefix="0" xfId="0"/>
    <xf numFmtId="0" fontId="2" fillId="5" borderId="8" applyAlignment="1" pivotButton="0" quotePrefix="0" xfId="0">
      <alignment horizontal="center"/>
    </xf>
    <xf numFmtId="0" fontId="0" fillId="5" borderId="8" pivotButton="0" quotePrefix="0" xfId="0"/>
    <xf numFmtId="165" fontId="9" fillId="5" borderId="8" applyAlignment="1" pivotButton="0" quotePrefix="0" xfId="0">
      <alignment horizontal="center" vertical="center"/>
    </xf>
    <xf numFmtId="166" fontId="0" fillId="0" borderId="0" pivotButton="0" quotePrefix="0" xfId="0"/>
    <xf numFmtId="167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  <xf numFmtId="10" fontId="1" fillId="0" borderId="8" pivotButton="0" quotePrefix="0" xfId="2"/>
    <xf numFmtId="170" fontId="1" fillId="0" borderId="8" applyAlignment="1" pivotButton="0" quotePrefix="0" xfId="1">
      <alignment horizontal="center"/>
    </xf>
    <xf numFmtId="169" fontId="1" fillId="0" borderId="8" applyAlignment="1" pivotButton="0" quotePrefix="0" xfId="1">
      <alignment horizontal="center" vertical="center"/>
    </xf>
    <xf numFmtId="164" fontId="0" fillId="2" borderId="0" pivotButton="0" quotePrefix="0" xfId="0"/>
    <xf numFmtId="164" fontId="1" fillId="0" borderId="0" pivotButton="0" quotePrefix="0" xfId="1"/>
    <xf numFmtId="171" fontId="0" fillId="0" borderId="0" pivotButton="0" quotePrefix="0" xfId="0"/>
    <xf numFmtId="166" fontId="0" fillId="0" borderId="0" pivotButton="0" quotePrefix="0" xfId="0"/>
    <xf numFmtId="164" fontId="0" fillId="2" borderId="0" pivotButton="0" quotePrefix="0" xfId="0"/>
    <xf numFmtId="165" fontId="5" fillId="0" borderId="5" applyAlignment="1" pivotButton="0" quotePrefix="0" xfId="4">
      <alignment horizontal="center" vertical="center" wrapText="1"/>
    </xf>
    <xf numFmtId="165" fontId="5" fillId="0" borderId="6" applyAlignment="1" pivotButton="0" quotePrefix="0" xfId="4">
      <alignment horizontal="center" vertical="center" wrapText="1"/>
    </xf>
    <xf numFmtId="165" fontId="5" fillId="0" borderId="1" applyAlignment="1" pivotButton="0" quotePrefix="0" xfId="4">
      <alignment horizontal="center" vertical="center"/>
    </xf>
    <xf numFmtId="165" fontId="5" fillId="0" borderId="4" applyAlignment="1" pivotButton="0" quotePrefix="0" xfId="4">
      <alignment horizontal="center" vertical="center"/>
    </xf>
    <xf numFmtId="165" fontId="7" fillId="0" borderId="5" pivotButton="0" quotePrefix="0" xfId="4"/>
    <xf numFmtId="165" fontId="7" fillId="0" borderId="6" pivotButton="0" quotePrefix="0" xfId="4"/>
    <xf numFmtId="165" fontId="8" fillId="4" borderId="1" pivotButton="0" quotePrefix="0" xfId="0"/>
    <xf numFmtId="167" fontId="0" fillId="0" borderId="0" pivotButton="0" quotePrefix="0" xfId="0"/>
    <xf numFmtId="165" fontId="5" fillId="5" borderId="5" applyAlignment="1" pivotButton="0" quotePrefix="0" xfId="4">
      <alignment horizontal="center" vertical="center" wrapText="1"/>
    </xf>
    <xf numFmtId="165" fontId="5" fillId="5" borderId="6" applyAlignment="1" pivotButton="0" quotePrefix="0" xfId="4">
      <alignment horizontal="center" vertical="center" wrapText="1"/>
    </xf>
    <xf numFmtId="165" fontId="5" fillId="5" borderId="1" applyAlignment="1" pivotButton="0" quotePrefix="0" xfId="4">
      <alignment horizontal="center" vertical="center"/>
    </xf>
    <xf numFmtId="165" fontId="5" fillId="5" borderId="4" applyAlignment="1" pivotButton="0" quotePrefix="0" xfId="4">
      <alignment horizontal="center" vertical="center"/>
    </xf>
    <xf numFmtId="165" fontId="9" fillId="5" borderId="8" applyAlignment="1" pivotButton="0" quotePrefix="0" xfId="0">
      <alignment horizontal="center" vertical="center"/>
    </xf>
    <xf numFmtId="169" fontId="0" fillId="0" borderId="0" pivotButton="0" quotePrefix="0" xfId="0"/>
    <xf numFmtId="169" fontId="1" fillId="0" borderId="8" applyAlignment="1" pivotButton="0" quotePrefix="0" xfId="1">
      <alignment horizontal="center" vertical="center"/>
    </xf>
    <xf numFmtId="170" fontId="1" fillId="0" borderId="8" applyAlignment="1" pivotButton="0" quotePrefix="0" xfId="1">
      <alignment horizontal="center"/>
    </xf>
    <xf numFmtId="171" fontId="0" fillId="0" borderId="0" pivotButton="0" quotePrefix="0" xfId="0"/>
    <xf numFmtId="172" fontId="0" fillId="0" borderId="0" pivotButton="0" quotePrefix="0" xfId="0"/>
  </cellXfs>
  <cellStyles count="5">
    <cellStyle name="Normal" xfId="0" builtinId="0"/>
    <cellStyle name="Millares [0]" xfId="1" builtinId="6"/>
    <cellStyle name="Porcentaje" xfId="2" builtinId="5"/>
    <cellStyle name="Normal 13" xfId="3"/>
    <cellStyle name="Millares 32" xfId="4"/>
  </cellStyles>
  <dxfs count="1"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33" formatCode="_ * #,##0_ ;_ * \-#,##0_ ;_ * &quot;-&quot;_ ;_ @_ 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pivotCacheDefinition" Target="/xl/pivotCache/pivotCacheDefinition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Rodrigo Ignacio Muñoz Bozo" refreshedDate="45924.6241162037" createdVersion="8" refreshedVersion="8" minRefreshableVersion="3" recordCount="833" r:id="rId1">
  <cacheSource type="worksheet">
    <worksheetSource ref="A1:AD1048576" sheet="DESARROLLO"/>
  </cacheSource>
  <cacheFields count="32">
    <cacheField name="FECHA_PROCESO" uniqueList="1" numFmtId="0" sqlType="0" hierarchy="0" level="0" databaseField="1">
      <sharedItems count="0" containsBlank="1" containsDate="1" containsNonDate="0" containsString="0" minDate="2025-09-23T00:00:00" maxDate="2025-09-24T00:00:00"/>
    </cacheField>
    <cacheField name="CODIGO_EMPRESA" uniqueList="1" numFmtId="0" sqlType="0" hierarchy="0" level="0" databaseField="1">
      <sharedItems count="0" containsBlank="1" containsInteger="1" containsNumber="1" containsString="0" minValue="1" maxValue="1"/>
    </cacheField>
    <cacheField name="OPERACION" uniqueList="1" numFmtId="0" sqlType="0" hierarchy="0" level="0" databaseField="1">
      <sharedItems count="0" containsBlank="1" containsNonDate="0" containsString="0"/>
    </cacheField>
    <cacheField name="COD_ACT/PAS" uniqueList="1" numFmtId="0" sqlType="0" hierarchy="0" level="0" databaseField="1">
      <sharedItems count="0" containsBlank="1"/>
    </cacheField>
    <cacheField name="MONEDA_ORIGEN" uniqueList="1" numFmtId="0" sqlType="0" hierarchy="0" level="0" databaseField="1">
      <sharedItems count="0" containsBlank="1"/>
    </cacheField>
    <cacheField name="MONEDA_COMPENSACION" uniqueList="1" numFmtId="0" sqlType="0" hierarchy="0" level="0" databaseField="1">
      <sharedItems count="0" containsBlank="1"/>
    </cacheField>
    <cacheField name="COMPENSACION" uniqueList="1" numFmtId="0" sqlType="0" hierarchy="0" level="0" databaseField="1">
      <sharedItems count="0" containsBlank="1" containsNonDate="0" containsString="0"/>
    </cacheField>
    <cacheField name="CODIGO_PRODUCTO" uniqueList="1" numFmtId="0" sqlType="0" hierarchy="0" level="0" databaseField="1">
      <sharedItems count="15" containsBlank="1">
        <s v="MT_R13_CTA. CORRIENTE"/>
        <s v="MT_R13_CTA. CORRIENTE PERSONAS_CORE"/>
        <s v="MT_R13_CTA. CORRIENTE PERSONAS_NONCORE"/>
        <s v="MT_R13_CTA. VISTA"/>
        <s v="MT_R13_CTA. VISTA_CORE"/>
        <s v="MT_R13_CTA. VISTA_NONCORE"/>
        <s v="MT_R13_CTA. AHORRO"/>
        <s v="MT_R13_CTA. AHORRO G.DIF_CORE"/>
        <s v="MT_R13_CTA. AHORRO G.DIF_NONCORE"/>
        <s v="MT_R13_CTA. AHORRO G.INC_CORE"/>
        <s v="MT_R13_CTA. AHORRO G.INC_NONCORE"/>
        <s v="MT_CTA. CORRIENTE"/>
        <s v="MT.CTA. VISTA"/>
        <s v="MT_CTA. AHORRO"/>
        <m/>
      </sharedItems>
    </cacheField>
    <cacheField name="CODIGO_SUBPRODUCTO" uniqueList="1" numFmtId="0" sqlType="0" hierarchy="0" level="0" databaseField="1">
      <sharedItems count="0" containsBlank="1"/>
    </cacheField>
    <cacheField name="FECHA_CREACION" uniqueList="1" numFmtId="0" sqlType="0" hierarchy="0" level="0" databaseField="1">
      <sharedItems count="0" containsBlank="1" containsNonDate="0" containsString="0"/>
    </cacheField>
    <cacheField name="NUMERO_CUOTA" uniqueList="1" numFmtId="0" sqlType="0" hierarchy="0" level="0" databaseField="1">
      <sharedItems count="0" containsBlank="1" containsInteger="1" containsNumber="1" containsString="0" minValue="1" maxValue="205"/>
    </cacheField>
    <cacheField name="FECHA_INICIO_CUOTA" uniqueList="1" numFmtId="0" sqlType="0" hierarchy="0" level="0" databaseField="1">
      <sharedItems count="0" containsBlank="1" containsNonDate="0" containsString="0"/>
    </cacheField>
    <cacheField name="FECHA_VENCIMIENTO_CUOTA" uniqueList="1" numFmtId="0" sqlType="0" hierarchy="0" level="0" databaseField="1">
      <sharedItems count="0" containsBlank="1" containsDate="1" containsNonDate="0" containsString="0" minDate="2025-09-24T00:00:00" maxDate="2042-10-01T00:00:00"/>
    </cacheField>
    <cacheField name="FECHA_PAGO" uniqueList="1" numFmtId="0" sqlType="0" hierarchy="0" level="0" databaseField="1">
      <sharedItems count="305" containsBlank="1" containsDate="1" containsNonDate="0" containsString="0" minDate="2025-08-28T00:00:00" maxDate="2042-10-01T00:00:00"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25-09-24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m/>
        <d v="2025-09-18T00:00:00" u="1"/>
        <d v="2025-09-17T00:00:00" u="1"/>
        <d v="2025-09-13T00:00:00" u="1"/>
        <d v="2025-08-31T00:00:00" u="1"/>
        <d v="2025-08-29T00:00:00" u="1"/>
        <d v="2025-08-28T00:00:00" u="1"/>
        <d v="2025-08-30T00:00:00" u="1"/>
        <d v="2025-09-01T00:00:00" u="1"/>
        <d v="2025-09-02T00:00:00" u="1"/>
        <d v="2025-09-03T00:00:00" u="1"/>
        <d v="2025-09-04T00:00:00" u="1"/>
        <d v="2025-09-05T00:00:00" u="1"/>
        <d v="2025-09-06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4T00:00:00" u="1"/>
        <d v="2025-09-15T00:00:00" u="1"/>
        <d v="2025-09-16T00:00:00" u="1"/>
        <d v="2025-09-19T00:00:00" u="1"/>
        <d v="2025-09-20T00:00:00" u="1"/>
        <d v="2025-09-21T00:00:00" u="1"/>
        <d v="2025-09-22T00:00:00" u="1"/>
        <d v="2025-09-23T00:00:00" u="1"/>
        <d v="2025-09-25T00:00:00" u="1"/>
        <d v="2025-09-26T00:00:00" u="1"/>
        <d v="2025-09-27T00:00:00" u="1"/>
        <d v="2025-09-28T00:00:00" u="1"/>
        <d v="2025-09-29T00:00:00" u="1"/>
        <d v="2025-10-01T00:00:00" u="1"/>
        <d v="2025-10-02T00:00:00" u="1"/>
        <d v="2025-10-03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6T00:00:00" u="1"/>
        <d v="2025-10-17T00:00:00" u="1"/>
        <d v="2025-10-18T00:00:00" u="1"/>
        <d v="2025-10-19T00:00:00" u="1"/>
        <d v="2025-10-20T00:00:00" u="1"/>
        <d v="2025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1-01T00:00:00" u="1"/>
        <d v="2025-11-02T00:00:00" u="1"/>
        <d v="2025-11-03T00:00:00" u="1"/>
        <d v="2025-11-04T00:00:00" u="1"/>
        <d v="2025-11-05T00:00:00" u="1"/>
        <d v="2025-11-06T00:00:00" u="1"/>
        <d v="2025-11-07T00:00:00" u="1"/>
        <d v="2025-11-08T00:00:00" u="1"/>
        <d v="2025-11-09T00:00:00" u="1"/>
        <d v="2025-11-10T00:00:00" u="1"/>
        <d v="2025-11-11T00:00:00" u="1"/>
        <d v="2025-11-12T00:00:00" u="1"/>
        <d v="2025-11-13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0T00:00:00" u="1"/>
        <d v="2025-11-21T00:00:00" u="1"/>
        <d v="2025-11-22T00:00:00" u="1"/>
        <d v="2025-11-23T00:00:00" u="1"/>
        <d v="2025-11-24T00:00:00" u="1"/>
        <d v="2025-11-25T00:00:00" u="1"/>
        <d v="2025-11-26T00:00:00" u="1"/>
        <d v="2025-11-27T00:00:00" u="1"/>
        <d v="2025-11-28T00:00:00" u="1"/>
        <d v="2025-11-29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</sharedItems>
      <fieldGroup par="31"/>
    </cacheField>
    <cacheField name="FECHA_REPRICING" uniqueList="1" numFmtId="0" sqlType="0" hierarchy="0" level="0" databaseField="1">
      <sharedItems count="0" containsBlank="1" containsDate="1" containsNonDate="0" containsString="0" minDate="2025-09-24T00:00:00" maxDate="2042-10-01T00:00:00"/>
    </cacheField>
    <cacheField name="AMORTIZACION" uniqueList="1" numFmtId="0" sqlType="0" hierarchy="0" level="0" databaseField="1">
      <sharedItems count="0" containsBlank="1" containsNumber="1" containsString="0" minValue="13.74786585365854" maxValue="930870422516.2999"/>
    </cacheField>
    <cacheField name="INTERES" uniqueList="1" numFmtId="0" sqlType="0" hierarchy="0" level="0" databaseField="1">
      <sharedItems count="0" containsBlank="1" containsNonDate="0" containsString="0"/>
    </cacheField>
    <cacheField name="INTERES_DEVENGADO" uniqueList="1" numFmtId="0" sqlType="0" hierarchy="0" level="0" databaseField="1">
      <sharedItems count="0" containsBlank="1" containsNonDate="0" containsString="0"/>
    </cacheField>
    <cacheField name="VP_AMORTIZACION" uniqueList="1" numFmtId="0" sqlType="0" hierarchy="0" level="0" databaseField="1">
      <sharedItems count="0" containsBlank="1" containsNonDate="0" containsString="0"/>
    </cacheField>
    <cacheField name="VP_INTERES" uniqueList="1" numFmtId="0" sqlType="0" hierarchy="0" level="0" databaseField="1">
      <sharedItems count="0" containsBlank="1" containsNonDate="0" containsString="0"/>
    </cacheField>
    <cacheField name="FACTOR_DE_RIESGO" uniqueList="1" numFmtId="0" sqlType="0" hierarchy="0" level="0" databaseField="1">
      <sharedItems count="0" containsBlank="1" containsNonDate="0" containsString="0"/>
    </cacheField>
    <cacheField name="TIPO_CUOTA" uniqueList="1" numFmtId="0" sqlType="0" hierarchy="0" level="0" databaseField="1">
      <sharedItems count="0" containsBlank="1" containsInteger="1" containsNumber="1" containsString="0" minValue="1" maxValue="1"/>
    </cacheField>
    <cacheField name="AREA_NEGOCIO" uniqueList="1" numFmtId="0" sqlType="0" hierarchy="0" level="0" databaseField="1">
      <sharedItems count="0" containsBlank="1"/>
    </cacheField>
    <cacheField name="CODIGO_EJECUTIVO" uniqueList="1" numFmtId="0" sqlType="0" hierarchy="0" level="0" databaseField="1">
      <sharedItems count="0" containsBlank="1" containsNonDate="0" containsString="0"/>
    </cacheField>
    <cacheField name="CODIGO_ESTRATEGIA" uniqueList="1" numFmtId="0" sqlType="0" hierarchy="0" level="0" databaseField="1">
      <sharedItems count="0" containsBlank="1"/>
    </cacheField>
    <cacheField name="CLASIFICACION_CONTABLE" uniqueList="1" numFmtId="0" sqlType="0" hierarchy="0" level="0" databaseField="1">
      <sharedItems count="0" containsBlank="1"/>
    </cacheField>
    <cacheField name="TIPO_TASA" uniqueList="1" numFmtId="0" sqlType="0" hierarchy="0" level="0" databaseField="1">
      <sharedItems count="0" containsBlank="1" containsInteger="1" containsNumber="1" containsString="0" minValue="1" maxValue="1"/>
    </cacheField>
    <cacheField name="INDEXADOR" uniqueList="1" numFmtId="0" sqlType="0" hierarchy="0" level="0" databaseField="1">
      <sharedItems count="0" containsBlank="1" containsNonDate="0" containsString="0"/>
    </cacheField>
    <cacheField name="TASA_CF" uniqueList="1" numFmtId="0" sqlType="0" hierarchy="0" level="0" databaseField="1">
      <sharedItems count="0" containsBlank="1" containsNonDate="0" containsString="0"/>
    </cacheField>
    <cacheField name="SPREAD" uniqueList="1" numFmtId="0" sqlType="0" hierarchy="0" level="0" databaseField="1">
      <sharedItems count="0" containsBlank="1" containsNonDate="0" containsString="0"/>
    </cacheField>
    <cacheField name="Días (FECHA_PAGO)" uniqueList="1" numFmtId="0" sqlType="0" hierarchy="0" level="0" databaseField="0">
      <fieldGroup base="13">
        <rangePr autoStart="1" autoEnd="1" groupBy="days" startDate="2025-09-24T00:00:00" endDate="2042-10-01T00:00:00" groupInterval="1"/>
        <groupItems count="368">
          <s v="&lt;24-09-202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-10-2042"/>
        </groupItems>
      </fieldGroup>
    </cacheField>
    <cacheField name="Meses (FECHA_PAGO)" uniqueList="1" numFmtId="0" sqlType="0" hierarchy="0" level="0" databaseField="0">
      <fieldGroup base="13">
        <rangePr autoStart="1" autoEnd="1" groupBy="months" startDate="2025-09-24T00:00:00" endDate="2042-10-01T00:00:00" groupInterval="1"/>
        <groupItems count="14">
          <s v="&lt;24-09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10-2042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count="833">
  <r>
    <d v="2025-09-23T00:00:00"/>
    <n v="1"/>
    <m/>
    <s v="PAS"/>
    <s v="CLP"/>
    <s v="CLP"/>
    <m/>
    <x v="0"/>
    <s v="MT_R13_CTA. CORRIENTE PERSONAS_CORE"/>
    <m/>
    <n v="1"/>
    <m/>
    <d v="2025-09-30T00:00:00"/>
    <x v="0"/>
    <d v="2025-09-30T00:00:00"/>
    <n v="8985692188.54984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"/>
    <m/>
    <d v="2025-10-31T00:00:00"/>
    <x v="1"/>
    <d v="2025-10-31T00:00:00"/>
    <n v="8899121239.25582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"/>
    <m/>
    <d v="2025-11-30T00:00:00"/>
    <x v="2"/>
    <d v="2025-11-30T00:00:00"/>
    <n v="8813481160.38432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"/>
    <m/>
    <d v="2025-12-31T00:00:00"/>
    <x v="3"/>
    <d v="2025-12-31T00:00:00"/>
    <n v="8727841081.51282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"/>
    <m/>
    <d v="2026-01-31T00:00:00"/>
    <x v="4"/>
    <d v="2026-01-31T00:00:00"/>
    <n v="8644062743.48636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"/>
    <m/>
    <d v="2026-02-28T00:00:00"/>
    <x v="5"/>
    <d v="2026-02-28T00:00:00"/>
    <n v="8560284405.45989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7"/>
    <m/>
    <d v="2026-03-31T00:00:00"/>
    <x v="6"/>
    <d v="2026-03-31T00:00:00"/>
    <n v="8477436937.85594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8"/>
    <m/>
    <d v="2026-04-30T00:00:00"/>
    <x v="7"/>
    <d v="2026-04-30T00:00:00"/>
    <n v="8395520340.67450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9"/>
    <m/>
    <d v="2026-05-31T00:00:00"/>
    <x v="8"/>
    <d v="2026-05-31T00:00:00"/>
    <n v="8314534613.91559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0"/>
    <m/>
    <d v="2026-06-30T00:00:00"/>
    <x v="9"/>
    <d v="2026-06-30T00:00:00"/>
    <n v="8234479757.57918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1"/>
    <m/>
    <d v="2026-07-31T00:00:00"/>
    <x v="10"/>
    <d v="2026-07-31T00:00:00"/>
    <n v="8155355771.66530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2"/>
    <m/>
    <d v="2026-08-31T00:00:00"/>
    <x v="11"/>
    <d v="2026-08-31T00:00:00"/>
    <n v="8076231785.75141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3"/>
    <m/>
    <d v="2026-09-30T00:00:00"/>
    <x v="12"/>
    <d v="2026-09-30T00:00:00"/>
    <n v="7998038670.2600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4"/>
    <m/>
    <d v="2026-10-31T00:00:00"/>
    <x v="13"/>
    <d v="2026-10-31T00:00:00"/>
    <n v="7920776425.19119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5"/>
    <m/>
    <d v="2026-11-30T00:00:00"/>
    <x v="14"/>
    <d v="2026-11-30T00:00:00"/>
    <n v="7844445050.5448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6"/>
    <m/>
    <d v="2026-12-31T00:00:00"/>
    <x v="15"/>
    <d v="2026-12-31T00:00:00"/>
    <n v="7769044546.32103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7"/>
    <m/>
    <d v="2027-01-31T00:00:00"/>
    <x v="16"/>
    <d v="2027-01-31T00:00:00"/>
    <n v="7693644042.09721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8"/>
    <m/>
    <d v="2027-02-28T00:00:00"/>
    <x v="17"/>
    <d v="2027-02-28T00:00:00"/>
    <n v="7620105278.71843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19"/>
    <m/>
    <d v="2027-03-31T00:00:00"/>
    <x v="18"/>
    <d v="2027-03-31T00:00:00"/>
    <n v="7546566515.33964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0"/>
    <m/>
    <d v="2027-04-30T00:00:00"/>
    <x v="19"/>
    <d v="2027-04-30T00:00:00"/>
    <n v="7473027751.96085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1"/>
    <m/>
    <d v="2027-05-31T00:00:00"/>
    <x v="20"/>
    <d v="2027-05-31T00:00:00"/>
    <n v="7401350729.427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2"/>
    <m/>
    <d v="2027-06-30T00:00:00"/>
    <x v="21"/>
    <d v="2027-06-30T00:00:00"/>
    <n v="7329673706.89334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3"/>
    <m/>
    <d v="2027-07-31T00:00:00"/>
    <x v="22"/>
    <d v="2027-07-31T00:00:00"/>
    <n v="7258927554.78210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4"/>
    <m/>
    <d v="2027-08-31T00:00:00"/>
    <x v="23"/>
    <d v="2027-08-31T00:00:00"/>
    <n v="7189112273.09338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5"/>
    <m/>
    <d v="2027-09-30T00:00:00"/>
    <x v="24"/>
    <d v="2027-09-30T00:00:00"/>
    <n v="7119296991.40466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6"/>
    <m/>
    <d v="2027-10-31T00:00:00"/>
    <x v="25"/>
    <d v="2027-10-31T00:00:00"/>
    <n v="7050412580.13845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7"/>
    <m/>
    <d v="2027-11-30T00:00:00"/>
    <x v="26"/>
    <d v="2027-11-30T00:00:00"/>
    <n v="6982459039.29476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8"/>
    <m/>
    <d v="2027-12-31T00:00:00"/>
    <x v="27"/>
    <d v="2027-12-31T00:00:00"/>
    <n v="6915436368.87359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29"/>
    <m/>
    <d v="2028-01-31T00:00:00"/>
    <x v="28"/>
    <d v="2028-01-31T00:00:00"/>
    <n v="6848413698.45241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0"/>
    <m/>
    <d v="2028-02-29T00:00:00"/>
    <x v="29"/>
    <d v="2028-02-29T00:00:00"/>
    <n v="6782321898.45376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1"/>
    <m/>
    <d v="2028-03-31T00:00:00"/>
    <x v="30"/>
    <d v="2028-03-31T00:00:00"/>
    <n v="6717160968.87762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2"/>
    <m/>
    <d v="2028-04-30T00:00:00"/>
    <x v="31"/>
    <d v="2028-04-30T00:00:00"/>
    <n v="6652000039.30147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3"/>
    <m/>
    <d v="2028-05-31T00:00:00"/>
    <x v="32"/>
    <d v="2028-05-31T00:00:00"/>
    <n v="6587769980.14785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4"/>
    <m/>
    <d v="2028-06-30T00:00:00"/>
    <x v="33"/>
    <d v="2028-06-30T00:00:00"/>
    <n v="6524470791.41674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5"/>
    <m/>
    <d v="2028-07-31T00:00:00"/>
    <x v="34"/>
    <d v="2028-07-31T00:00:00"/>
    <n v="6461171602.68563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6"/>
    <m/>
    <d v="2028-08-31T00:00:00"/>
    <x v="35"/>
    <d v="2028-08-31T00:00:00"/>
    <n v="6398803284.37704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7"/>
    <m/>
    <d v="2028-09-30T00:00:00"/>
    <x v="36"/>
    <d v="2028-09-30T00:00:00"/>
    <n v="6337365836.4909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8"/>
    <m/>
    <d v="2028-10-31T00:00:00"/>
    <x v="37"/>
    <d v="2028-10-31T00:00:00"/>
    <n v="6275928388.60489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39"/>
    <m/>
    <d v="2028-11-30T00:00:00"/>
    <x v="38"/>
    <d v="2028-11-30T00:00:00"/>
    <n v="6215421811.14133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0"/>
    <m/>
    <d v="2028-12-31T00:00:00"/>
    <x v="39"/>
    <d v="2028-12-31T00:00:00"/>
    <n v="6155846104.10029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1"/>
    <m/>
    <d v="2029-01-31T00:00:00"/>
    <x v="40"/>
    <d v="2029-01-31T00:00:00"/>
    <n v="6096270397.05924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2"/>
    <m/>
    <d v="2029-02-28T00:00:00"/>
    <x v="41"/>
    <d v="2029-02-28T00:00:00"/>
    <n v="6037625560.44072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3"/>
    <m/>
    <d v="2029-03-31T00:00:00"/>
    <x v="42"/>
    <d v="2029-03-31T00:00:00"/>
    <n v="5978980723.82219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4"/>
    <m/>
    <d v="2029-04-30T00:00:00"/>
    <x v="43"/>
    <d v="2029-04-30T00:00:00"/>
    <n v="5921266757.62618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5"/>
    <m/>
    <d v="2029-05-31T00:00:00"/>
    <x v="44"/>
    <d v="2029-05-31T00:00:00"/>
    <n v="5864483661.8526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6"/>
    <m/>
    <d v="2029-06-30T00:00:00"/>
    <x v="45"/>
    <d v="2029-06-30T00:00:00"/>
    <n v="5807700566.07919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7"/>
    <m/>
    <d v="2029-07-31T00:00:00"/>
    <x v="46"/>
    <d v="2029-07-31T00:00:00"/>
    <n v="5751848340.72821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8"/>
    <m/>
    <d v="2029-08-31T00:00:00"/>
    <x v="47"/>
    <d v="2029-08-31T00:00:00"/>
    <n v="5695996115.37723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49"/>
    <m/>
    <d v="2029-09-30T00:00:00"/>
    <x v="48"/>
    <d v="2029-09-30T00:00:00"/>
    <n v="5641074760.44877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0"/>
    <m/>
    <d v="2029-10-31T00:00:00"/>
    <x v="49"/>
    <d v="2029-10-31T00:00:00"/>
    <n v="5586153405.52031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1"/>
    <m/>
    <d v="2029-11-30T00:00:00"/>
    <x v="50"/>
    <d v="2029-11-30T00:00:00"/>
    <n v="5532162921.01437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2"/>
    <m/>
    <d v="2029-12-31T00:00:00"/>
    <x v="51"/>
    <d v="2029-12-31T00:00:00"/>
    <n v="5479103306.93094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3"/>
    <m/>
    <d v="2030-01-31T00:00:00"/>
    <x v="52"/>
    <d v="2030-01-31T00:00:00"/>
    <n v="5426043692.84751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4"/>
    <m/>
    <d v="2030-02-28T00:00:00"/>
    <x v="53"/>
    <d v="2030-02-28T00:00:00"/>
    <n v="5373914949.186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5"/>
    <m/>
    <d v="2030-03-31T00:00:00"/>
    <x v="54"/>
    <d v="2030-03-31T00:00:00"/>
    <n v="5321786205.52568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6"/>
    <m/>
    <d v="2030-04-30T00:00:00"/>
    <x v="55"/>
    <d v="2030-04-30T00:00:00"/>
    <n v="5270588332.28729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7"/>
    <m/>
    <d v="2030-05-31T00:00:00"/>
    <x v="56"/>
    <d v="2030-05-31T00:00:00"/>
    <n v="5219390459.04889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8"/>
    <m/>
    <d v="2030-06-30T00:00:00"/>
    <x v="57"/>
    <d v="2030-06-30T00:00:00"/>
    <n v="5169123456.23301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59"/>
    <m/>
    <d v="2030-07-31T00:00:00"/>
    <x v="58"/>
    <d v="2030-07-31T00:00:00"/>
    <n v="5119787323.8396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0"/>
    <m/>
    <d v="2030-08-31T00:00:00"/>
    <x v="59"/>
    <d v="2030-08-31T00:00:00"/>
    <n v="5070451191.44628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1"/>
    <m/>
    <d v="2030-09-30T00:00:00"/>
    <x v="60"/>
    <d v="2030-09-30T00:00:00"/>
    <n v="5021115059.05292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2"/>
    <m/>
    <d v="2030-10-31T00:00:00"/>
    <x v="61"/>
    <d v="2030-10-31T00:00:00"/>
    <n v="4972709797.08207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3"/>
    <m/>
    <d v="2030-11-30T00:00:00"/>
    <x v="62"/>
    <d v="2030-11-30T00:00:00"/>
    <n v="4924304535.11122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4"/>
    <m/>
    <d v="2030-12-31T00:00:00"/>
    <x v="63"/>
    <d v="2030-12-31T00:00:00"/>
    <n v="4876830143.56289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5"/>
    <m/>
    <d v="2031-01-31T00:00:00"/>
    <x v="64"/>
    <d v="2031-01-31T00:00:00"/>
    <n v="4830286622.4370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6"/>
    <m/>
    <d v="2031-02-28T00:00:00"/>
    <x v="65"/>
    <d v="2031-02-28T00:00:00"/>
    <n v="4783743101.31126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7"/>
    <m/>
    <d v="2031-03-31T00:00:00"/>
    <x v="66"/>
    <d v="2031-03-31T00:00:00"/>
    <n v="4737199580.18545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8"/>
    <m/>
    <d v="2031-04-30T00:00:00"/>
    <x v="67"/>
    <d v="2031-04-30T00:00:00"/>
    <n v="4691586929.48215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69"/>
    <m/>
    <d v="2031-05-31T00:00:00"/>
    <x v="68"/>
    <d v="2031-05-31T00:00:00"/>
    <n v="4645974278.77885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70"/>
    <m/>
    <d v="2031-06-30T00:00:00"/>
    <x v="69"/>
    <d v="2031-06-30T00:00:00"/>
    <n v="4601292498.49807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71"/>
    <m/>
    <d v="2031-07-31T00:00:00"/>
    <x v="70"/>
    <d v="2031-07-31T00:00:00"/>
    <n v="4556610718.2172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72"/>
    <m/>
    <d v="2031-08-31T00:00:00"/>
    <x v="71"/>
    <d v="2031-08-31T00:00:00"/>
    <n v="4512859808.35902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73"/>
    <m/>
    <d v="2031-09-30T00:00:00"/>
    <x v="72"/>
    <d v="2031-09-30T00:00:00"/>
    <n v="4469108898.50075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CORE"/>
    <m/>
    <n v="74"/>
    <m/>
    <d v="2031-10-31T00:00:00"/>
    <x v="73"/>
    <d v="2031-10-31T00:00:00"/>
    <n v="458530014463.924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"/>
    <s v="MT_R13_CTA. CORRIENTE PERSONAS_CORE"/>
    <m/>
    <m/>
    <m/>
    <d v="2025-09-24T00:00:00"/>
    <x v="74"/>
    <d v="2025-09-24T00:00:00"/>
    <n v="930870422516.299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0"/>
    <s v="MT_R13_CTA. CORRIENTE PERSONAS_NONCORE"/>
    <m/>
    <m/>
    <m/>
    <d v="2025-09-24T00:00:00"/>
    <x v="74"/>
    <d v="2025-09-24T00:00:00"/>
    <n v="398944466792.700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2"/>
    <s v="MT_R13_CTA. CORRIENTE PERSONAS_NONCORE"/>
    <m/>
    <m/>
    <m/>
    <d v="2025-09-24T00:00:00"/>
    <x v="74"/>
    <d v="2025-09-24T00:00:00"/>
    <n v="398944466792.700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"/>
    <m/>
    <d v="2025-09-30T00:00:00"/>
    <x v="0"/>
    <d v="2025-09-30T00:00:00"/>
    <n v="1666844098.7001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"/>
    <m/>
    <d v="2025-10-31T00:00:00"/>
    <x v="1"/>
    <d v="2025-10-31T00:00:00"/>
    <n v="1641267037.10763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"/>
    <m/>
    <d v="2025-11-30T00:00:00"/>
    <x v="2"/>
    <d v="2025-11-30T00:00:00"/>
    <n v="1616015107.65398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"/>
    <m/>
    <d v="2025-12-31T00:00:00"/>
    <x v="3"/>
    <d v="2025-12-31T00:00:00"/>
    <n v="1591196687.71885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"/>
    <m/>
    <d v="2026-01-31T00:00:00"/>
    <x v="4"/>
    <d v="2026-01-31T00:00:00"/>
    <n v="1566703399.92260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"/>
    <m/>
    <d v="2026-02-28T00:00:00"/>
    <x v="5"/>
    <d v="2026-02-28T00:00:00"/>
    <n v="1542643621.64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"/>
    <m/>
    <d v="2026-03-31T00:00:00"/>
    <x v="6"/>
    <d v="2026-03-31T00:00:00"/>
    <n v="1518908975.50604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"/>
    <m/>
    <d v="2026-04-30T00:00:00"/>
    <x v="7"/>
    <d v="2026-04-30T00:00:00"/>
    <n v="1495499461.50609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"/>
    <m/>
    <d v="2026-05-31T00:00:00"/>
    <x v="8"/>
    <d v="2026-05-31T00:00:00"/>
    <n v="1472523457.024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"/>
    <m/>
    <d v="2026-06-30T00:00:00"/>
    <x v="9"/>
    <d v="2026-06-30T00:00:00"/>
    <n v="1449872584.68211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1"/>
    <m/>
    <d v="2026-07-31T00:00:00"/>
    <x v="10"/>
    <d v="2026-07-31T00:00:00"/>
    <n v="1427546844.4784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2"/>
    <m/>
    <d v="2026-08-31T00:00:00"/>
    <x v="11"/>
    <d v="2026-08-31T00:00:00"/>
    <n v="1405546236.4136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3"/>
    <m/>
    <d v="2026-09-30T00:00:00"/>
    <x v="12"/>
    <d v="2026-09-30T00:00:00"/>
    <n v="1383979137.86743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4"/>
    <m/>
    <d v="2026-10-31T00:00:00"/>
    <x v="13"/>
    <d v="2026-10-31T00:00:00"/>
    <n v="1362737171.46007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5"/>
    <m/>
    <d v="2026-11-30T00:00:00"/>
    <x v="14"/>
    <d v="2026-11-30T00:00:00"/>
    <n v="1341711959.811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6"/>
    <m/>
    <d v="2026-12-31T00:00:00"/>
    <x v="15"/>
    <d v="2026-12-31T00:00:00"/>
    <n v="1321120257.68238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7"/>
    <m/>
    <d v="2027-01-31T00:00:00"/>
    <x v="16"/>
    <d v="2027-01-31T00:00:00"/>
    <n v="1300745310.31205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8"/>
    <m/>
    <d v="2027-02-28T00:00:00"/>
    <x v="17"/>
    <d v="2027-02-28T00:00:00"/>
    <n v="1280803872.460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9"/>
    <m/>
    <d v="2027-03-31T00:00:00"/>
    <x v="18"/>
    <d v="2027-03-31T00:00:00"/>
    <n v="1261079189.3676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0"/>
    <m/>
    <d v="2027-04-30T00:00:00"/>
    <x v="19"/>
    <d v="2027-04-30T00:00:00"/>
    <n v="1241679638.41403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1"/>
    <m/>
    <d v="2027-05-31T00:00:00"/>
    <x v="20"/>
    <d v="2027-05-31T00:00:00"/>
    <n v="1222605219.59926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2"/>
    <m/>
    <d v="2027-06-30T00:00:00"/>
    <x v="21"/>
    <d v="2027-06-30T00:00:00"/>
    <n v="1203747555.54374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3"/>
    <m/>
    <d v="2027-07-31T00:00:00"/>
    <x v="22"/>
    <d v="2027-07-31T00:00:00"/>
    <n v="1185215023.62711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4"/>
    <m/>
    <d v="2027-08-31T00:00:00"/>
    <x v="23"/>
    <d v="2027-08-31T00:00:00"/>
    <n v="1167007623.84937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5"/>
    <m/>
    <d v="2027-09-30T00:00:00"/>
    <x v="24"/>
    <d v="2027-09-30T00:00:00"/>
    <n v="1149125356.21052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6"/>
    <m/>
    <d v="2027-10-31T00:00:00"/>
    <x v="25"/>
    <d v="2027-10-31T00:00:00"/>
    <n v="1131459843.33093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7"/>
    <m/>
    <d v="2027-11-30T00:00:00"/>
    <x v="26"/>
    <d v="2027-11-30T00:00:00"/>
    <n v="1114011085.21060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8"/>
    <m/>
    <d v="2027-12-31T00:00:00"/>
    <x v="27"/>
    <d v="2027-12-31T00:00:00"/>
    <n v="1096887459.2291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29"/>
    <m/>
    <d v="2028-01-31T00:00:00"/>
    <x v="28"/>
    <d v="2028-01-31T00:00:00"/>
    <n v="1079980588.00697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0"/>
    <m/>
    <d v="2028-02-29T00:00:00"/>
    <x v="29"/>
    <d v="2028-02-29T00:00:00"/>
    <n v="1063398848.92367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1"/>
    <m/>
    <d v="2028-03-31T00:00:00"/>
    <x v="30"/>
    <d v="2028-03-31T00:00:00"/>
    <n v="1047033864.59963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2"/>
    <m/>
    <d v="2028-04-30T00:00:00"/>
    <x v="31"/>
    <d v="2028-04-30T00:00:00"/>
    <n v="1030885635.03485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3"/>
    <m/>
    <d v="2028-05-31T00:00:00"/>
    <x v="32"/>
    <d v="2028-05-31T00:00:00"/>
    <n v="1015062537.6089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4"/>
    <m/>
    <d v="2028-06-30T00:00:00"/>
    <x v="33"/>
    <d v="2028-06-30T00:00:00"/>
    <n v="999456194.942326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5"/>
    <m/>
    <d v="2028-07-31T00:00:00"/>
    <x v="34"/>
    <d v="2028-07-31T00:00:00"/>
    <n v="984066607.034951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6"/>
    <m/>
    <d v="2028-08-31T00:00:00"/>
    <x v="35"/>
    <d v="2028-08-31T00:00:00"/>
    <n v="969002151.266465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7"/>
    <m/>
    <d v="2028-09-30T00:00:00"/>
    <x v="36"/>
    <d v="2028-09-30T00:00:00"/>
    <n v="954046072.877608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8"/>
    <m/>
    <d v="2028-10-31T00:00:00"/>
    <x v="37"/>
    <d v="2028-10-31T00:00:00"/>
    <n v="939415126.627639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39"/>
    <m/>
    <d v="2028-11-30T00:00:00"/>
    <x v="38"/>
    <d v="2028-11-30T00:00:00"/>
    <n v="924892557.757299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0"/>
    <m/>
    <d v="2028-12-31T00:00:00"/>
    <x v="39"/>
    <d v="2028-12-31T00:00:00"/>
    <n v="910695121.025848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1"/>
    <m/>
    <d v="2029-01-31T00:00:00"/>
    <x v="40"/>
    <d v="2029-01-31T00:00:00"/>
    <n v="896714439.053655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2"/>
    <m/>
    <d v="2029-02-28T00:00:00"/>
    <x v="41"/>
    <d v="2029-02-28T00:00:00"/>
    <n v="882950511.840721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3"/>
    <m/>
    <d v="2029-03-31T00:00:00"/>
    <x v="42"/>
    <d v="2029-03-31T00:00:00"/>
    <n v="869294962.007417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4"/>
    <m/>
    <d v="2029-04-30T00:00:00"/>
    <x v="43"/>
    <d v="2029-04-30T00:00:00"/>
    <n v="855964544.313001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5"/>
    <m/>
    <d v="2029-05-31T00:00:00"/>
    <x v="44"/>
    <d v="2029-05-31T00:00:00"/>
    <n v="842742503.998214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6"/>
    <m/>
    <d v="2029-06-30T00:00:00"/>
    <x v="45"/>
    <d v="2029-06-30T00:00:00"/>
    <n v="829845595.82231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7"/>
    <m/>
    <d v="2029-07-31T00:00:00"/>
    <x v="46"/>
    <d v="2029-07-31T00:00:00"/>
    <n v="817057065.026046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8"/>
    <m/>
    <d v="2029-08-31T00:00:00"/>
    <x v="47"/>
    <d v="2029-08-31T00:00:00"/>
    <n v="804485288.989036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49"/>
    <m/>
    <d v="2029-09-30T00:00:00"/>
    <x v="48"/>
    <d v="2029-09-30T00:00:00"/>
    <n v="792130267.711284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0"/>
    <m/>
    <d v="2029-10-31T00:00:00"/>
    <x v="49"/>
    <d v="2029-10-31T00:00:00"/>
    <n v="779992001.192791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1"/>
    <m/>
    <d v="2029-11-30T00:00:00"/>
    <x v="50"/>
    <d v="2029-11-30T00:00:00"/>
    <n v="767962112.053928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2"/>
    <m/>
    <d v="2029-12-31T00:00:00"/>
    <x v="51"/>
    <d v="2029-12-31T00:00:00"/>
    <n v="756148977.674323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3"/>
    <m/>
    <d v="2030-01-31T00:00:00"/>
    <x v="52"/>
    <d v="2030-01-31T00:00:00"/>
    <n v="744552598.05397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4"/>
    <m/>
    <d v="2030-02-28T00:00:00"/>
    <x v="53"/>
    <d v="2030-02-28T00:00:00"/>
    <n v="733064595.813261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5"/>
    <m/>
    <d v="2030-03-31T00:00:00"/>
    <x v="54"/>
    <d v="2030-03-31T00:00:00"/>
    <n v="721793348.331803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6"/>
    <m/>
    <d v="2030-04-30T00:00:00"/>
    <x v="55"/>
    <d v="2030-04-30T00:00:00"/>
    <n v="710630478.22997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7"/>
    <m/>
    <d v="2030-05-31T00:00:00"/>
    <x v="56"/>
    <d v="2030-05-31T00:00:00"/>
    <n v="699792740.26703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8"/>
    <m/>
    <d v="2030-06-30T00:00:00"/>
    <x v="57"/>
    <d v="2030-06-30T00:00:00"/>
    <n v="688955002.30409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59"/>
    <m/>
    <d v="2030-07-31T00:00:00"/>
    <x v="58"/>
    <d v="2030-07-31T00:00:00"/>
    <n v="678334019.100414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0"/>
    <m/>
    <d v="2030-08-31T00:00:00"/>
    <x v="59"/>
    <d v="2030-08-31T00:00:00"/>
    <n v="667929790.655992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1"/>
    <m/>
    <d v="2030-09-30T00:00:00"/>
    <x v="60"/>
    <d v="2030-09-30T00:00:00"/>
    <n v="657633939.591199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2"/>
    <m/>
    <d v="2030-10-31T00:00:00"/>
    <x v="61"/>
    <d v="2030-10-31T00:00:00"/>
    <n v="647554843.28566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3"/>
    <m/>
    <d v="2030-11-30T00:00:00"/>
    <x v="62"/>
    <d v="2030-11-30T00:00:00"/>
    <n v="637584124.35976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4"/>
    <m/>
    <d v="2030-12-31T00:00:00"/>
    <x v="63"/>
    <d v="2030-12-31T00:00:00"/>
    <n v="627830160.193114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5"/>
    <m/>
    <d v="2031-01-31T00:00:00"/>
    <x v="64"/>
    <d v="2031-01-31T00:00:00"/>
    <n v="618184573.406097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6"/>
    <m/>
    <d v="2031-02-28T00:00:00"/>
    <x v="65"/>
    <d v="2031-02-28T00:00:00"/>
    <n v="608647363.998710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7"/>
    <m/>
    <d v="2031-03-31T00:00:00"/>
    <x v="66"/>
    <d v="2031-03-31T00:00:00"/>
    <n v="599326909.35058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8"/>
    <m/>
    <d v="2031-04-30T00:00:00"/>
    <x v="67"/>
    <d v="2031-04-30T00:00:00"/>
    <n v="590006454.702453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69"/>
    <m/>
    <d v="2031-05-31T00:00:00"/>
    <x v="68"/>
    <d v="2031-05-31T00:00:00"/>
    <n v="581011132.193213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0"/>
    <m/>
    <d v="2031-06-30T00:00:00"/>
    <x v="69"/>
    <d v="2031-06-30T00:00:00"/>
    <n v="572015809.683973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1"/>
    <m/>
    <d v="2031-07-31T00:00:00"/>
    <x v="70"/>
    <d v="2031-07-31T00:00:00"/>
    <n v="563237241.933991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2"/>
    <m/>
    <d v="2031-08-31T00:00:00"/>
    <x v="71"/>
    <d v="2031-08-31T00:00:00"/>
    <n v="554567051.56363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3"/>
    <m/>
    <d v="2031-09-30T00:00:00"/>
    <x v="72"/>
    <d v="2031-09-30T00:00:00"/>
    <n v="546005238.572917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4"/>
    <m/>
    <d v="2031-10-31T00:00:00"/>
    <x v="73"/>
    <d v="2031-10-31T00:00:00"/>
    <n v="537660180.341453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5"/>
    <m/>
    <d v="2031-11-30T00:00:00"/>
    <x v="75"/>
    <d v="2031-11-30T00:00:00"/>
    <n v="529423499.489618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6"/>
    <m/>
    <d v="2031-12-31T00:00:00"/>
    <x v="76"/>
    <d v="2031-12-31T00:00:00"/>
    <n v="521295196.01741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7"/>
    <m/>
    <d v="2032-01-31T00:00:00"/>
    <x v="77"/>
    <d v="2032-01-31T00:00:00"/>
    <n v="513275269.924838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8"/>
    <m/>
    <d v="2032-02-29T00:00:00"/>
    <x v="78"/>
    <d v="2032-02-29T00:00:00"/>
    <n v="505363721.211892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79"/>
    <m/>
    <d v="2032-03-31T00:00:00"/>
    <x v="79"/>
    <d v="2032-03-31T00:00:00"/>
    <n v="497560549.878575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0"/>
    <m/>
    <d v="2032-04-30T00:00:00"/>
    <x v="80"/>
    <d v="2032-04-30T00:00:00"/>
    <n v="489865755.9248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1"/>
    <m/>
    <d v="2032-05-31T00:00:00"/>
    <x v="81"/>
    <d v="2032-05-31T00:00:00"/>
    <n v="482387716.730459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2"/>
    <m/>
    <d v="2032-06-30T00:00:00"/>
    <x v="82"/>
    <d v="2032-06-30T00:00:00"/>
    <n v="474909677.536030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3"/>
    <m/>
    <d v="2032-07-31T00:00:00"/>
    <x v="83"/>
    <d v="2032-07-31T00:00:00"/>
    <n v="467648393.10086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4"/>
    <m/>
    <d v="2032-08-31T00:00:00"/>
    <x v="84"/>
    <d v="2032-08-31T00:00:00"/>
    <n v="460495486.045320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5"/>
    <m/>
    <d v="2032-09-30T00:00:00"/>
    <x v="85"/>
    <d v="2032-09-30T00:00:00"/>
    <n v="453342578.98978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6"/>
    <m/>
    <d v="2032-10-31T00:00:00"/>
    <x v="86"/>
    <d v="2032-10-31T00:00:00"/>
    <n v="446406426.693498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7"/>
    <m/>
    <d v="2032-11-30T00:00:00"/>
    <x v="87"/>
    <d v="2032-11-30T00:00:00"/>
    <n v="439578651.776846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8"/>
    <m/>
    <d v="2032-12-31T00:00:00"/>
    <x v="88"/>
    <d v="2032-12-31T00:00:00"/>
    <n v="432750876.860194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89"/>
    <m/>
    <d v="2033-01-31T00:00:00"/>
    <x v="89"/>
    <d v="2033-01-31T00:00:00"/>
    <n v="426139856.702800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0"/>
    <m/>
    <d v="2033-02-28T00:00:00"/>
    <x v="90"/>
    <d v="2033-02-28T00:00:00"/>
    <n v="419528836.545407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1"/>
    <m/>
    <d v="2033-03-31T00:00:00"/>
    <x v="91"/>
    <d v="2033-03-31T00:00:00"/>
    <n v="413134571.147272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2"/>
    <m/>
    <d v="2033-04-30T00:00:00"/>
    <x v="92"/>
    <d v="2033-04-30T00:00:00"/>
    <n v="406740305.749138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3"/>
    <m/>
    <d v="2033-05-31T00:00:00"/>
    <x v="93"/>
    <d v="2033-05-31T00:00:00"/>
    <n v="400454417.73063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4"/>
    <m/>
    <d v="2033-06-30T00:00:00"/>
    <x v="94"/>
    <d v="2033-06-30T00:00:00"/>
    <n v="394385284.471386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5"/>
    <m/>
    <d v="2033-07-31T00:00:00"/>
    <x v="95"/>
    <d v="2033-07-31T00:00:00"/>
    <n v="388316151.212140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6"/>
    <m/>
    <d v="2033-08-31T00:00:00"/>
    <x v="96"/>
    <d v="2033-08-31T00:00:00"/>
    <n v="382355395.332523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7"/>
    <m/>
    <d v="2033-09-30T00:00:00"/>
    <x v="97"/>
    <d v="2033-09-30T00:00:00"/>
    <n v="376394639.452906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8"/>
    <m/>
    <d v="2033-10-31T00:00:00"/>
    <x v="98"/>
    <d v="2033-10-31T00:00:00"/>
    <n v="370650638.33254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99"/>
    <m/>
    <d v="2033-11-30T00:00:00"/>
    <x v="99"/>
    <d v="2033-11-30T00:00:00"/>
    <n v="364906637.21218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0"/>
    <m/>
    <d v="2033-12-31T00:00:00"/>
    <x v="100"/>
    <d v="2033-12-31T00:00:00"/>
    <n v="359271013.471460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1"/>
    <m/>
    <d v="2034-01-31T00:00:00"/>
    <x v="101"/>
    <d v="2034-01-31T00:00:00"/>
    <n v="353743767.110361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2"/>
    <m/>
    <d v="2034-02-28T00:00:00"/>
    <x v="102"/>
    <d v="2034-02-28T00:00:00"/>
    <n v="348324898.128891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3"/>
    <m/>
    <d v="2034-03-31T00:00:00"/>
    <x v="103"/>
    <d v="2034-03-31T00:00:00"/>
    <n v="343014406.52705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4"/>
    <m/>
    <d v="2034-04-30T00:00:00"/>
    <x v="104"/>
    <d v="2034-04-30T00:00:00"/>
    <n v="337703914.925210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5"/>
    <m/>
    <d v="2034-05-31T00:00:00"/>
    <x v="105"/>
    <d v="2034-05-31T00:00:00"/>
    <n v="332501800.702999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6"/>
    <m/>
    <d v="2034-06-30T00:00:00"/>
    <x v="106"/>
    <d v="2034-06-30T00:00:00"/>
    <n v="327408063.860417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7"/>
    <m/>
    <d v="2034-07-31T00:00:00"/>
    <x v="107"/>
    <d v="2034-07-31T00:00:00"/>
    <n v="322422704.39746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CORE"/>
    <m/>
    <n v="108"/>
    <m/>
    <d v="2034-08-31T00:00:00"/>
    <x v="108"/>
    <d v="2034-08-31T00:00:00"/>
    <n v="20637654138.5488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4"/>
    <s v="MT_R13_CTA. VISTA_CORE"/>
    <m/>
    <m/>
    <m/>
    <d v="2025-09-24T00:00:00"/>
    <x v="74"/>
    <d v="2025-09-24T00:00:00"/>
    <n v="108377379629.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3"/>
    <s v="MT_R13_CTA. VISTA_NONCORE"/>
    <m/>
    <m/>
    <m/>
    <d v="2025-09-24T00:00:00"/>
    <x v="74"/>
    <d v="2025-09-24T00:00:00"/>
    <n v="46447448412.6000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5"/>
    <s v="MT_R13_CTA. VISTA_NONCORE"/>
    <m/>
    <m/>
    <m/>
    <d v="2025-09-24T00:00:00"/>
    <x v="74"/>
    <d v="2025-09-24T00:00:00"/>
    <n v="46447448412.6000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"/>
    <m/>
    <d v="2025-09-30T00:00:00"/>
    <x v="0"/>
    <d v="2025-09-30T00:00:00"/>
    <n v="27435.394649440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"/>
    <m/>
    <d v="2025-10-31T00:00:00"/>
    <x v="1"/>
    <d v="2025-10-31T00:00:00"/>
    <n v="27197.3978461809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"/>
    <m/>
    <d v="2025-11-30T00:00:00"/>
    <x v="2"/>
    <d v="2025-11-30T00:00:00"/>
    <n v="26959.4010429213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"/>
    <m/>
    <d v="2025-12-31T00:00:00"/>
    <x v="3"/>
    <d v="2025-12-31T00:00:00"/>
    <n v="26721.4042396617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"/>
    <m/>
    <d v="2026-01-31T00:00:00"/>
    <x v="4"/>
    <d v="2026-01-31T00:00:00"/>
    <n v="26486.5389732871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"/>
    <m/>
    <d v="2026-02-28T00:00:00"/>
    <x v="5"/>
    <d v="2026-02-28T00:00:00"/>
    <n v="26254.8052437974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7"/>
    <m/>
    <d v="2026-03-31T00:00:00"/>
    <x v="6"/>
    <d v="2026-03-31T00:00:00"/>
    <n v="26026.2030511928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8"/>
    <m/>
    <d v="2026-04-30T00:00:00"/>
    <x v="7"/>
    <d v="2026-04-30T00:00:00"/>
    <n v="25797.6008585882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9"/>
    <m/>
    <d v="2026-05-31T00:00:00"/>
    <x v="8"/>
    <d v="2026-05-31T00:00:00"/>
    <n v="25572.1302028685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0"/>
    <m/>
    <d v="2026-06-30T00:00:00"/>
    <x v="9"/>
    <d v="2026-06-30T00:00:00"/>
    <n v="25346.6595471489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1"/>
    <m/>
    <d v="2026-07-31T00:00:00"/>
    <x v="10"/>
    <d v="2026-07-31T00:00:00"/>
    <n v="25124.3204283143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2"/>
    <m/>
    <d v="2026-08-31T00:00:00"/>
    <x v="11"/>
    <d v="2026-08-31T00:00:00"/>
    <n v="24905.1128463646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3"/>
    <m/>
    <d v="2026-09-30T00:00:00"/>
    <x v="12"/>
    <d v="2026-09-30T00:00:00"/>
    <n v="24685.905264415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4"/>
    <m/>
    <d v="2026-10-31T00:00:00"/>
    <x v="13"/>
    <d v="2026-10-31T00:00:00"/>
    <n v="24469.8292193503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5"/>
    <m/>
    <d v="2026-11-30T00:00:00"/>
    <x v="14"/>
    <d v="2026-11-30T00:00:00"/>
    <n v="24256.884711170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6"/>
    <m/>
    <d v="2026-12-31T00:00:00"/>
    <x v="15"/>
    <d v="2026-12-31T00:00:00"/>
    <n v="24043.9402029910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7"/>
    <m/>
    <d v="2027-01-31T00:00:00"/>
    <x v="16"/>
    <d v="2027-01-31T00:00:00"/>
    <n v="23834.127231696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8"/>
    <m/>
    <d v="2027-02-28T00:00:00"/>
    <x v="17"/>
    <d v="2027-02-28T00:00:00"/>
    <n v="23624.3142604017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19"/>
    <m/>
    <d v="2027-03-31T00:00:00"/>
    <x v="18"/>
    <d v="2027-03-31T00:00:00"/>
    <n v="23417.6328259920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0"/>
    <m/>
    <d v="2027-04-30T00:00:00"/>
    <x v="19"/>
    <d v="2027-04-30T00:00:00"/>
    <n v="23210.9513915824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1"/>
    <m/>
    <d v="2027-05-31T00:00:00"/>
    <x v="20"/>
    <d v="2027-05-31T00:00:00"/>
    <n v="23007.4014940577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2"/>
    <m/>
    <d v="2027-06-30T00:00:00"/>
    <x v="21"/>
    <d v="2027-06-30T00:00:00"/>
    <n v="22806.9831334180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3"/>
    <m/>
    <d v="2027-07-31T00:00:00"/>
    <x v="22"/>
    <d v="2027-07-31T00:00:00"/>
    <n v="22606.5647727783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4"/>
    <m/>
    <d v="2027-08-31T00:00:00"/>
    <x v="23"/>
    <d v="2027-08-31T00:00:00"/>
    <n v="22409.2779490237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5"/>
    <m/>
    <d v="2027-09-30T00:00:00"/>
    <x v="24"/>
    <d v="2027-09-30T00:00:00"/>
    <n v="22211.9911252690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6"/>
    <m/>
    <d v="2027-10-31T00:00:00"/>
    <x v="25"/>
    <d v="2027-10-31T00:00:00"/>
    <n v="22017.8358383993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7"/>
    <m/>
    <d v="2027-11-30T00:00:00"/>
    <x v="26"/>
    <d v="2027-11-30T00:00:00"/>
    <n v="21826.8120884146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8"/>
    <m/>
    <d v="2027-12-31T00:00:00"/>
    <x v="27"/>
    <d v="2027-12-31T00:00:00"/>
    <n v="21635.7883384299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29"/>
    <m/>
    <d v="2028-01-31T00:00:00"/>
    <x v="28"/>
    <d v="2028-01-31T00:00:00"/>
    <n v="21444.7645884452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0"/>
    <m/>
    <d v="2028-02-29T00:00:00"/>
    <x v="29"/>
    <d v="2028-02-29T00:00:00"/>
    <n v="21256.872375345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1"/>
    <m/>
    <d v="2028-03-31T00:00:00"/>
    <x v="30"/>
    <d v="2028-03-31T00:00:00"/>
    <n v="21072.1116991308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2"/>
    <m/>
    <d v="2028-04-30T00:00:00"/>
    <x v="31"/>
    <d v="2028-04-30T00:00:00"/>
    <n v="20887.3510229161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3"/>
    <m/>
    <d v="2028-05-31T00:00:00"/>
    <x v="32"/>
    <d v="2028-05-31T00:00:00"/>
    <n v="20702.5903467014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4"/>
    <m/>
    <d v="2028-06-30T00:00:00"/>
    <x v="33"/>
    <d v="2028-06-30T00:00:00"/>
    <n v="20520.9612073717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5"/>
    <m/>
    <d v="2028-07-31T00:00:00"/>
    <x v="34"/>
    <d v="2028-07-31T00:00:00"/>
    <n v="20342.4636049270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6"/>
    <m/>
    <d v="2028-08-31T00:00:00"/>
    <x v="35"/>
    <d v="2028-08-31T00:00:00"/>
    <n v="20163.9660024823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7"/>
    <m/>
    <d v="2028-09-30T00:00:00"/>
    <x v="36"/>
    <d v="2028-09-30T00:00:00"/>
    <n v="19985.4684000376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8"/>
    <m/>
    <d v="2028-10-31T00:00:00"/>
    <x v="37"/>
    <d v="2028-10-31T00:00:00"/>
    <n v="19813.2338713629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39"/>
    <m/>
    <d v="2028-11-30T00:00:00"/>
    <x v="38"/>
    <d v="2028-11-30T00:00:00"/>
    <n v="19637.867805803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0"/>
    <m/>
    <d v="2028-12-31T00:00:00"/>
    <x v="39"/>
    <d v="2028-12-31T00:00:00"/>
    <n v="19465.6332771284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1"/>
    <m/>
    <d v="2029-01-31T00:00:00"/>
    <x v="40"/>
    <d v="2029-01-31T00:00:00"/>
    <n v="19296.5302853387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2"/>
    <m/>
    <d v="2029-02-28T00:00:00"/>
    <x v="41"/>
    <d v="2029-02-28T00:00:00"/>
    <n v="19127.427293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3"/>
    <m/>
    <d v="2029-03-31T00:00:00"/>
    <x v="42"/>
    <d v="2029-03-31T00:00:00"/>
    <n v="18958.324301759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4"/>
    <m/>
    <d v="2029-04-30T00:00:00"/>
    <x v="43"/>
    <d v="2029-04-30T00:00:00"/>
    <n v="18792.352846854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5"/>
    <m/>
    <d v="2029-05-31T00:00:00"/>
    <x v="44"/>
    <d v="2029-05-31T00:00:00"/>
    <n v="18629.5129288348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6"/>
    <m/>
    <d v="2029-06-30T00:00:00"/>
    <x v="45"/>
    <d v="2029-06-30T00:00:00"/>
    <n v="18463.541473930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7"/>
    <m/>
    <d v="2029-07-31T00:00:00"/>
    <x v="46"/>
    <d v="2029-07-31T00:00:00"/>
    <n v="18303.8330927953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8"/>
    <m/>
    <d v="2029-08-31T00:00:00"/>
    <x v="47"/>
    <d v="2029-08-31T00:00:00"/>
    <n v="18144.1247116606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49"/>
    <m/>
    <d v="2029-09-30T00:00:00"/>
    <x v="48"/>
    <d v="2029-09-30T00:00:00"/>
    <n v="17984.4163305258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0"/>
    <m/>
    <d v="2029-10-31T00:00:00"/>
    <x v="49"/>
    <d v="2029-10-31T00:00:00"/>
    <n v="17827.8394862761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1"/>
    <m/>
    <d v="2029-11-30T00:00:00"/>
    <x v="50"/>
    <d v="2029-11-30T00:00:00"/>
    <n v="17671.2626420263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2"/>
    <m/>
    <d v="2029-12-31T00:00:00"/>
    <x v="51"/>
    <d v="2029-12-31T00:00:00"/>
    <n v="17514.6857977766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3"/>
    <m/>
    <d v="2030-01-31T00:00:00"/>
    <x v="52"/>
    <d v="2030-01-31T00:00:00"/>
    <n v="17361.240490411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4"/>
    <m/>
    <d v="2030-02-28T00:00:00"/>
    <x v="53"/>
    <d v="2030-02-28T00:00:00"/>
    <n v="17210.9267199321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5"/>
    <m/>
    <d v="2030-03-31T00:00:00"/>
    <x v="54"/>
    <d v="2030-03-31T00:00:00"/>
    <n v="17057.4814125673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6"/>
    <m/>
    <d v="2030-04-30T00:00:00"/>
    <x v="55"/>
    <d v="2030-04-30T00:00:00"/>
    <n v="16910.2991789726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7"/>
    <m/>
    <d v="2030-05-31T00:00:00"/>
    <x v="56"/>
    <d v="2030-05-31T00:00:00"/>
    <n v="16759.9854084928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8"/>
    <m/>
    <d v="2030-06-30T00:00:00"/>
    <x v="57"/>
    <d v="2030-06-30T00:00:00"/>
    <n v="16615.9347117830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59"/>
    <m/>
    <d v="2030-07-31T00:00:00"/>
    <x v="58"/>
    <d v="2030-07-31T00:00:00"/>
    <n v="16468.7524781883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0"/>
    <m/>
    <d v="2030-08-31T00:00:00"/>
    <x v="59"/>
    <d v="2030-08-31T00:00:00"/>
    <n v="16324.7017814785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1"/>
    <m/>
    <d v="2030-09-30T00:00:00"/>
    <x v="60"/>
    <d v="2030-09-30T00:00:00"/>
    <n v="16180.65108476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2"/>
    <m/>
    <d v="2030-10-31T00:00:00"/>
    <x v="61"/>
    <d v="2030-10-31T00:00:00"/>
    <n v="16039.731924944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3"/>
    <m/>
    <d v="2030-11-30T00:00:00"/>
    <x v="62"/>
    <d v="2030-11-30T00:00:00"/>
    <n v="15898.8127651192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4"/>
    <m/>
    <d v="2030-12-31T00:00:00"/>
    <x v="63"/>
    <d v="2030-12-31T00:00:00"/>
    <n v="15761.0251421794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5"/>
    <m/>
    <d v="2031-01-31T00:00:00"/>
    <x v="64"/>
    <d v="2031-01-31T00:00:00"/>
    <n v="15623.237519239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6"/>
    <m/>
    <d v="2031-02-28T00:00:00"/>
    <x v="65"/>
    <d v="2031-02-28T00:00:00"/>
    <n v="15485.4498962999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7"/>
    <m/>
    <d v="2031-03-31T00:00:00"/>
    <x v="66"/>
    <d v="2031-03-31T00:00:00"/>
    <n v="15350.7938102451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8"/>
    <m/>
    <d v="2031-04-30T00:00:00"/>
    <x v="67"/>
    <d v="2031-04-30T00:00:00"/>
    <n v="15216.1377241903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69"/>
    <m/>
    <d v="2031-05-31T00:00:00"/>
    <x v="68"/>
    <d v="2031-05-31T00:00:00"/>
    <n v="15081.481638135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CORE"/>
    <m/>
    <n v="70"/>
    <m/>
    <d v="2031-06-30T00:00:00"/>
    <x v="69"/>
    <d v="2031-06-30T00:00:00"/>
    <n v="1706289.89713784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7"/>
    <s v="MT_R13_CTA. AHORRO G.DIF_CORE"/>
    <m/>
    <m/>
    <m/>
    <d v="2025-09-24T00:00:00"/>
    <x v="74"/>
    <d v="2025-09-24T00:00:00"/>
    <n v="3131536.88499492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DIF_NONCORE"/>
    <m/>
    <m/>
    <m/>
    <d v="2025-09-24T00:00:00"/>
    <x v="74"/>
    <d v="2025-09-24T00:00:00"/>
    <n v="1342087.2364263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8"/>
    <s v="MT_R13_CTA. AHORRO G.DIF_NONCORE"/>
    <m/>
    <m/>
    <m/>
    <d v="2025-09-24T00:00:00"/>
    <x v="74"/>
    <d v="2025-09-24T00:00:00"/>
    <n v="1342087.2364263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"/>
    <m/>
    <d v="2025-09-30T00:00:00"/>
    <x v="0"/>
    <d v="2025-09-30T00:00:00"/>
    <n v="6812.10612740517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"/>
    <m/>
    <d v="2025-10-31T00:00:00"/>
    <x v="1"/>
    <d v="2025-10-31T00:00:00"/>
    <n v="6751.3729839602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"/>
    <m/>
    <d v="2025-11-30T00:00:00"/>
    <x v="2"/>
    <d v="2025-11-30T00:00:00"/>
    <n v="6691.40861448308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"/>
    <m/>
    <d v="2025-12-31T00:00:00"/>
    <x v="3"/>
    <d v="2025-12-31T00:00:00"/>
    <n v="6632.21301897352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"/>
    <m/>
    <d v="2026-01-31T00:00:00"/>
    <x v="4"/>
    <d v="2026-01-31T00:00:00"/>
    <n v="6573.78619743162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"/>
    <m/>
    <d v="2026-02-28T00:00:00"/>
    <x v="5"/>
    <d v="2026-02-28T00:00:00"/>
    <n v="6515.35937588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7"/>
    <m/>
    <d v="2026-03-31T00:00:00"/>
    <x v="6"/>
    <d v="2026-03-31T00:00:00"/>
    <n v="6457.70132831547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8"/>
    <m/>
    <d v="2026-04-30T00:00:00"/>
    <x v="7"/>
    <d v="2026-04-30T00:00:00"/>
    <n v="6400.04328074123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9"/>
    <m/>
    <d v="2026-05-31T00:00:00"/>
    <x v="8"/>
    <d v="2026-05-31T00:00:00"/>
    <n v="6343.9227811022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0"/>
    <m/>
    <d v="2026-06-30T00:00:00"/>
    <x v="9"/>
    <d v="2026-06-30T00:00:00"/>
    <n v="6287.03350749570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1"/>
    <m/>
    <d v="2026-07-31T00:00:00"/>
    <x v="10"/>
    <d v="2026-07-31T00:00:00"/>
    <n v="6231.68178182443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2"/>
    <m/>
    <d v="2026-08-31T00:00:00"/>
    <x v="11"/>
    <d v="2026-08-31T00:00:00"/>
    <n v="6176.3300561531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3"/>
    <m/>
    <d v="2026-09-30T00:00:00"/>
    <x v="12"/>
    <d v="2026-09-30T00:00:00"/>
    <n v="6121.747104449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4"/>
    <m/>
    <d v="2026-10-31T00:00:00"/>
    <x v="13"/>
    <d v="2026-10-31T00:00:00"/>
    <n v="6067.16415274592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5"/>
    <m/>
    <d v="2026-11-30T00:00:00"/>
    <x v="14"/>
    <d v="2026-11-30T00:00:00"/>
    <n v="6014.11874897761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6"/>
    <m/>
    <d v="2026-12-31T00:00:00"/>
    <x v="15"/>
    <d v="2026-12-31T00:00:00"/>
    <n v="5960.30457124165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7"/>
    <m/>
    <d v="2027-01-31T00:00:00"/>
    <x v="16"/>
    <d v="2027-01-31T00:00:00"/>
    <n v="5907.25916747334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8"/>
    <m/>
    <d v="2027-02-28T00:00:00"/>
    <x v="17"/>
    <d v="2027-02-28T00:00:00"/>
    <n v="5854.98253767269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19"/>
    <m/>
    <d v="2027-03-31T00:00:00"/>
    <x v="18"/>
    <d v="2027-03-31T00:00:00"/>
    <n v="5803.47468183970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0"/>
    <m/>
    <d v="2027-04-30T00:00:00"/>
    <x v="19"/>
    <d v="2027-04-30T00:00:00"/>
    <n v="5751.96682600671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1"/>
    <m/>
    <d v="2027-05-31T00:00:00"/>
    <x v="20"/>
    <d v="2027-05-31T00:00:00"/>
    <n v="5701.22774414137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2"/>
    <m/>
    <d v="2027-06-30T00:00:00"/>
    <x v="21"/>
    <d v="2027-06-30T00:00:00"/>
    <n v="5650.48866227604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3"/>
    <m/>
    <d v="2027-07-31T00:00:00"/>
    <x v="22"/>
    <d v="2027-07-31T00:00:00"/>
    <n v="5600.51835437836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4"/>
    <m/>
    <d v="2027-08-31T00:00:00"/>
    <x v="23"/>
    <d v="2027-08-31T00:00:00"/>
    <n v="5550.54804648068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5"/>
    <m/>
    <d v="2027-09-30T00:00:00"/>
    <x v="24"/>
    <d v="2027-09-30T00:00:00"/>
    <n v="5501.3465125506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6"/>
    <m/>
    <d v="2027-10-31T00:00:00"/>
    <x v="25"/>
    <d v="2027-10-31T00:00:00"/>
    <n v="5452.91375258829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7"/>
    <m/>
    <d v="2027-11-30T00:00:00"/>
    <x v="26"/>
    <d v="2027-11-30T00:00:00"/>
    <n v="5404.48099262592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8"/>
    <m/>
    <d v="2027-12-31T00:00:00"/>
    <x v="27"/>
    <d v="2027-12-31T00:00:00"/>
    <n v="5356.81700663121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29"/>
    <m/>
    <d v="2028-01-31T00:00:00"/>
    <x v="28"/>
    <d v="2028-01-31T00:00:00"/>
    <n v="5309.15302063650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0"/>
    <m/>
    <d v="2028-02-29T00:00:00"/>
    <x v="29"/>
    <d v="2028-02-29T00:00:00"/>
    <n v="5262.25780860945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1"/>
    <m/>
    <d v="2028-03-31T00:00:00"/>
    <x v="30"/>
    <d v="2028-03-31T00:00:00"/>
    <n v="5215.36259658240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2"/>
    <m/>
    <d v="2028-04-30T00:00:00"/>
    <x v="31"/>
    <d v="2028-04-30T00:00:00"/>
    <n v="5169.23615852300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3"/>
    <m/>
    <d v="2028-05-31T00:00:00"/>
    <x v="32"/>
    <d v="2028-05-31T00:00:00"/>
    <n v="5123.87849443126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4"/>
    <m/>
    <d v="2028-06-30T00:00:00"/>
    <x v="33"/>
    <d v="2028-06-30T00:00:00"/>
    <n v="5078.52083033952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5"/>
    <m/>
    <d v="2028-07-31T00:00:00"/>
    <x v="34"/>
    <d v="2028-07-31T00:00:00"/>
    <n v="5033.1631662477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6"/>
    <m/>
    <d v="2028-08-31T00:00:00"/>
    <x v="35"/>
    <d v="2028-08-31T00:00:00"/>
    <n v="4988.57427612370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7"/>
    <m/>
    <d v="2028-09-30T00:00:00"/>
    <x v="36"/>
    <d v="2028-09-30T00:00:00"/>
    <n v="4943.98538599962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8"/>
    <m/>
    <d v="2028-10-31T00:00:00"/>
    <x v="37"/>
    <d v="2028-10-31T00:00:00"/>
    <n v="4900.16526984319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39"/>
    <m/>
    <d v="2028-11-30T00:00:00"/>
    <x v="38"/>
    <d v="2028-11-30T00:00:00"/>
    <n v="4857.11392765442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0"/>
    <m/>
    <d v="2028-12-31T00:00:00"/>
    <x v="39"/>
    <d v="2028-12-31T00:00:00"/>
    <n v="4814.06258546565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1"/>
    <m/>
    <d v="2029-01-31T00:00:00"/>
    <x v="40"/>
    <d v="2029-01-31T00:00:00"/>
    <n v="4771.78001724454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2"/>
    <m/>
    <d v="2029-02-28T00:00:00"/>
    <x v="41"/>
    <d v="2029-02-28T00:00:00"/>
    <n v="4729.4974490234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3"/>
    <m/>
    <d v="2029-03-31T00:00:00"/>
    <x v="42"/>
    <d v="2029-03-31T00:00:00"/>
    <n v="4687.21488080231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4"/>
    <m/>
    <d v="2029-04-30T00:00:00"/>
    <x v="43"/>
    <d v="2029-04-30T00:00:00"/>
    <n v="4645.70108654885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5"/>
    <m/>
    <d v="2029-05-31T00:00:00"/>
    <x v="44"/>
    <d v="2029-05-31T00:00:00"/>
    <n v="4604.18729229540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6"/>
    <m/>
    <d v="2029-06-30T00:00:00"/>
    <x v="45"/>
    <d v="2029-06-30T00:00:00"/>
    <n v="4563.44227200960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7"/>
    <m/>
    <d v="2029-07-31T00:00:00"/>
    <x v="46"/>
    <d v="2029-07-31T00:00:00"/>
    <n v="4523.46602569145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8"/>
    <m/>
    <d v="2029-08-31T00:00:00"/>
    <x v="47"/>
    <d v="2029-08-31T00:00:00"/>
    <n v="4483.48977937331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49"/>
    <m/>
    <d v="2029-09-30T00:00:00"/>
    <x v="48"/>
    <d v="2029-09-30T00:00:00"/>
    <n v="4443.51353305517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0"/>
    <m/>
    <d v="2029-10-31T00:00:00"/>
    <x v="49"/>
    <d v="2029-10-31T00:00:00"/>
    <n v="4404.30606070468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1"/>
    <m/>
    <d v="2029-11-30T00:00:00"/>
    <x v="50"/>
    <d v="2029-11-30T00:00:00"/>
    <n v="4365.09858835419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2"/>
    <m/>
    <d v="2029-12-31T00:00:00"/>
    <x v="51"/>
    <d v="2029-12-31T00:00:00"/>
    <n v="4326.65988997136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3"/>
    <m/>
    <d v="2030-01-31T00:00:00"/>
    <x v="52"/>
    <d v="2030-01-31T00:00:00"/>
    <n v="4288.22119158853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4"/>
    <m/>
    <d v="2030-02-28T00:00:00"/>
    <x v="53"/>
    <d v="2030-02-28T00:00:00"/>
    <n v="4249.78249320570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5"/>
    <m/>
    <d v="2030-03-31T00:00:00"/>
    <x v="54"/>
    <d v="2030-03-31T00:00:00"/>
    <n v="4212.11256879053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6"/>
    <m/>
    <d v="2030-04-30T00:00:00"/>
    <x v="55"/>
    <d v="2030-04-30T00:00:00"/>
    <n v="4175.21141834301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7"/>
    <m/>
    <d v="2030-05-31T00:00:00"/>
    <x v="56"/>
    <d v="2030-05-31T00:00:00"/>
    <n v="4138.310267895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8"/>
    <m/>
    <d v="2030-06-30T00:00:00"/>
    <x v="57"/>
    <d v="2030-06-30T00:00:00"/>
    <n v="4101.40911744798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59"/>
    <m/>
    <d v="2030-07-31T00:00:00"/>
    <x v="58"/>
    <d v="2030-07-31T00:00:00"/>
    <n v="4065.27674096812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0"/>
    <m/>
    <d v="2030-08-31T00:00:00"/>
    <x v="59"/>
    <d v="2030-08-31T00:00:00"/>
    <n v="4029.14436448826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1"/>
    <m/>
    <d v="2030-09-30T00:00:00"/>
    <x v="60"/>
    <d v="2030-09-30T00:00:00"/>
    <n v="3993.78076197605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2"/>
    <m/>
    <d v="2030-10-31T00:00:00"/>
    <x v="61"/>
    <d v="2030-10-31T00:00:00"/>
    <n v="3957.6483854961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3"/>
    <m/>
    <d v="2030-11-30T00:00:00"/>
    <x v="62"/>
    <d v="2030-11-30T00:00:00"/>
    <n v="3923.05355695165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4"/>
    <m/>
    <d v="2030-12-31T00:00:00"/>
    <x v="63"/>
    <d v="2030-12-31T00:00:00"/>
    <n v="3888.45872840710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5"/>
    <m/>
    <d v="2031-01-31T00:00:00"/>
    <x v="64"/>
    <d v="2031-01-31T00:00:00"/>
    <n v="3853.86389986255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6"/>
    <m/>
    <d v="2031-02-28T00:00:00"/>
    <x v="65"/>
    <d v="2031-02-28T00:00:00"/>
    <n v="3819.2690713180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7"/>
    <m/>
    <d v="2031-03-31T00:00:00"/>
    <x v="66"/>
    <d v="2031-03-31T00:00:00"/>
    <n v="3785.4430167411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8"/>
    <m/>
    <d v="2031-04-30T00:00:00"/>
    <x v="67"/>
    <d v="2031-04-30T00:00:00"/>
    <n v="3752.385736131885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69"/>
    <m/>
    <d v="2031-05-31T00:00:00"/>
    <x v="68"/>
    <d v="2031-05-31T00:00:00"/>
    <n v="3719.32845552265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CORE"/>
    <m/>
    <n v="70"/>
    <m/>
    <d v="2031-06-30T00:00:00"/>
    <x v="69"/>
    <d v="2031-06-30T00:00:00"/>
    <n v="416005.119570083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9"/>
    <s v="MT_R13_CTA. AHORRO G.INC_CORE"/>
    <m/>
    <m/>
    <m/>
    <d v="2025-09-24T00:00:00"/>
    <x v="74"/>
    <d v="2025-09-24T00:00:00"/>
    <n v="768773.967656604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6"/>
    <s v="MT_R13_CTA. AHORRO G.INC_NONCORE"/>
    <m/>
    <m/>
    <m/>
    <d v="2025-09-24T00:00:00"/>
    <x v="74"/>
    <d v="2025-09-24T00:00:00"/>
    <n v="329474.557567116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0"/>
    <s v="MT_R13_CTA. AHORRO G.INC_NONCORE"/>
    <m/>
    <m/>
    <m/>
    <d v="2025-09-24T00:00:00"/>
    <x v="74"/>
    <d v="2025-09-24T00:00:00"/>
    <n v="329474.5575671161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"/>
    <m/>
    <d v="2025-09-30T00:00:00"/>
    <x v="0"/>
    <d v="2025-09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"/>
    <m/>
    <d v="2025-10-31T00:00:00"/>
    <x v="1"/>
    <d v="2025-10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"/>
    <m/>
    <d v="2025-11-30T00:00:00"/>
    <x v="2"/>
    <d v="2025-11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4"/>
    <m/>
    <d v="2025-12-31T00:00:00"/>
    <x v="3"/>
    <d v="2025-12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5"/>
    <m/>
    <d v="2026-01-31T00:00:00"/>
    <x v="4"/>
    <d v="2026-01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6"/>
    <m/>
    <d v="2026-02-28T00:00:00"/>
    <x v="5"/>
    <d v="2026-02-28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7"/>
    <m/>
    <d v="2026-03-31T00:00:00"/>
    <x v="6"/>
    <d v="2026-03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8"/>
    <m/>
    <d v="2026-04-30T00:00:00"/>
    <x v="7"/>
    <d v="2026-04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9"/>
    <m/>
    <d v="2026-05-31T00:00:00"/>
    <x v="8"/>
    <d v="2026-05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0"/>
    <m/>
    <d v="2026-06-30T00:00:00"/>
    <x v="9"/>
    <d v="2026-06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1"/>
    <m/>
    <d v="2026-07-31T00:00:00"/>
    <x v="10"/>
    <d v="2026-07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2"/>
    <m/>
    <d v="2026-08-31T00:00:00"/>
    <x v="11"/>
    <d v="2026-08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3"/>
    <m/>
    <d v="2026-09-30T00:00:00"/>
    <x v="12"/>
    <d v="2026-09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4"/>
    <m/>
    <d v="2026-10-31T00:00:00"/>
    <x v="13"/>
    <d v="2026-10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5"/>
    <m/>
    <d v="2026-11-30T00:00:00"/>
    <x v="14"/>
    <d v="2026-11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6"/>
    <m/>
    <d v="2026-12-31T00:00:00"/>
    <x v="15"/>
    <d v="2026-12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7"/>
    <m/>
    <d v="2027-01-31T00:00:00"/>
    <x v="16"/>
    <d v="2027-01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8"/>
    <m/>
    <d v="2027-02-28T00:00:00"/>
    <x v="17"/>
    <d v="2027-02-28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19"/>
    <m/>
    <d v="2027-03-31T00:00:00"/>
    <x v="18"/>
    <d v="2027-03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0"/>
    <m/>
    <d v="2027-04-30T00:00:00"/>
    <x v="19"/>
    <d v="2027-04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1"/>
    <m/>
    <d v="2027-05-31T00:00:00"/>
    <x v="20"/>
    <d v="2027-05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2"/>
    <m/>
    <d v="2027-06-30T00:00:00"/>
    <x v="21"/>
    <d v="2027-06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3"/>
    <m/>
    <d v="2027-07-31T00:00:00"/>
    <x v="22"/>
    <d v="2027-07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4"/>
    <m/>
    <d v="2027-08-31T00:00:00"/>
    <x v="23"/>
    <d v="2027-08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5"/>
    <m/>
    <d v="2027-09-30T00:00:00"/>
    <x v="24"/>
    <d v="2027-09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6"/>
    <m/>
    <d v="2027-10-31T00:00:00"/>
    <x v="25"/>
    <d v="2027-10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7"/>
    <m/>
    <d v="2027-11-30T00:00:00"/>
    <x v="26"/>
    <d v="2027-11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8"/>
    <m/>
    <d v="2027-12-31T00:00:00"/>
    <x v="27"/>
    <d v="2027-12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29"/>
    <m/>
    <d v="2028-01-31T00:00:00"/>
    <x v="28"/>
    <d v="2028-01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0"/>
    <m/>
    <d v="2028-02-29T00:00:00"/>
    <x v="29"/>
    <d v="2028-02-29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1"/>
    <m/>
    <d v="2028-03-31T00:00:00"/>
    <x v="30"/>
    <d v="2028-03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2"/>
    <m/>
    <d v="2028-04-30T00:00:00"/>
    <x v="31"/>
    <d v="2028-04-30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3"/>
    <m/>
    <d v="2028-05-31T00:00:00"/>
    <x v="32"/>
    <d v="2028-05-31T00:00:00"/>
    <n v="34755623249.2997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4"/>
    <m/>
    <d v="2028-06-30T00:00:00"/>
    <x v="33"/>
    <d v="2028-06-30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5"/>
    <m/>
    <d v="2028-07-31T00:00:00"/>
    <x v="34"/>
    <d v="2028-07-31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6"/>
    <m/>
    <d v="2028-08-31T00:00:00"/>
    <x v="35"/>
    <d v="2028-08-31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7"/>
    <m/>
    <d v="2028-09-30T00:00:00"/>
    <x v="36"/>
    <d v="2028-09-30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8"/>
    <m/>
    <d v="2028-10-31T00:00:00"/>
    <x v="37"/>
    <d v="2028-10-31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39"/>
    <m/>
    <d v="2028-11-30T00:00:00"/>
    <x v="38"/>
    <d v="2028-11-30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40"/>
    <m/>
    <d v="2028-12-31T00:00:00"/>
    <x v="39"/>
    <d v="2028-12-31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41"/>
    <m/>
    <d v="2029-01-31T00:00:00"/>
    <x v="40"/>
    <d v="2029-01-31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_CORE_CORE"/>
    <m/>
    <n v="42"/>
    <m/>
    <d v="2029-02-28T00:00:00"/>
    <x v="41"/>
    <d v="2029-02-28T00:00:00"/>
    <n v="2203270308.1232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1"/>
    <s v="CTA. CORRIENTE PERSONAS"/>
    <m/>
    <m/>
    <m/>
    <d v="2025-09-24T00:00:00"/>
    <x v="74"/>
    <d v="2025-09-24T00:00:00"/>
    <n v="163049889308.999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"/>
    <m/>
    <d v="2025-09-30T00:00:00"/>
    <x v="0"/>
    <d v="2025-09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"/>
    <m/>
    <d v="2025-10-31T00:00:00"/>
    <x v="1"/>
    <d v="2025-10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"/>
    <m/>
    <d v="2025-11-30T00:00:00"/>
    <x v="2"/>
    <d v="2025-11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4"/>
    <m/>
    <d v="2025-12-31T00:00:00"/>
    <x v="3"/>
    <d v="2025-12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5"/>
    <m/>
    <d v="2026-01-31T00:00:00"/>
    <x v="4"/>
    <d v="2026-01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6"/>
    <m/>
    <d v="2026-02-28T00:00:00"/>
    <x v="5"/>
    <d v="2026-02-28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7"/>
    <m/>
    <d v="2026-03-31T00:00:00"/>
    <x v="6"/>
    <d v="2026-03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8"/>
    <m/>
    <d v="2026-04-30T00:00:00"/>
    <x v="7"/>
    <d v="2026-04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9"/>
    <m/>
    <d v="2026-05-31T00:00:00"/>
    <x v="8"/>
    <d v="2026-05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0"/>
    <m/>
    <d v="2026-06-30T00:00:00"/>
    <x v="9"/>
    <d v="2026-06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1"/>
    <m/>
    <d v="2026-07-31T00:00:00"/>
    <x v="10"/>
    <d v="2026-07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2"/>
    <m/>
    <d v="2026-08-31T00:00:00"/>
    <x v="11"/>
    <d v="2026-08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3"/>
    <m/>
    <d v="2026-09-30T00:00:00"/>
    <x v="12"/>
    <d v="2026-09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4"/>
    <m/>
    <d v="2026-10-31T00:00:00"/>
    <x v="13"/>
    <d v="2026-10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5"/>
    <m/>
    <d v="2026-11-30T00:00:00"/>
    <x v="14"/>
    <d v="2026-11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6"/>
    <m/>
    <d v="2026-12-31T00:00:00"/>
    <x v="15"/>
    <d v="2026-12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7"/>
    <m/>
    <d v="2027-01-31T00:00:00"/>
    <x v="16"/>
    <d v="2027-01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8"/>
    <m/>
    <d v="2027-02-28T00:00:00"/>
    <x v="17"/>
    <d v="2027-02-28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19"/>
    <m/>
    <d v="2027-03-31T00:00:00"/>
    <x v="18"/>
    <d v="2027-03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0"/>
    <m/>
    <d v="2027-04-30T00:00:00"/>
    <x v="19"/>
    <d v="2027-04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1"/>
    <m/>
    <d v="2027-05-31T00:00:00"/>
    <x v="20"/>
    <d v="2027-05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2"/>
    <m/>
    <d v="2027-06-30T00:00:00"/>
    <x v="21"/>
    <d v="2027-06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3"/>
    <m/>
    <d v="2027-07-31T00:00:00"/>
    <x v="22"/>
    <d v="2027-07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4"/>
    <m/>
    <d v="2027-08-31T00:00:00"/>
    <x v="23"/>
    <d v="2027-08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5"/>
    <m/>
    <d v="2027-09-30T00:00:00"/>
    <x v="24"/>
    <d v="2027-09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6"/>
    <m/>
    <d v="2027-10-31T00:00:00"/>
    <x v="25"/>
    <d v="2027-10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7"/>
    <m/>
    <d v="2027-11-30T00:00:00"/>
    <x v="26"/>
    <d v="2027-11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8"/>
    <m/>
    <d v="2027-12-31T00:00:00"/>
    <x v="27"/>
    <d v="2027-12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29"/>
    <m/>
    <d v="2028-01-31T00:00:00"/>
    <x v="28"/>
    <d v="2028-01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0"/>
    <m/>
    <d v="2028-02-29T00:00:00"/>
    <x v="29"/>
    <d v="2028-02-29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1"/>
    <m/>
    <d v="2028-03-31T00:00:00"/>
    <x v="30"/>
    <d v="2028-03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2"/>
    <m/>
    <d v="2028-04-30T00:00:00"/>
    <x v="31"/>
    <d v="2028-04-30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3"/>
    <m/>
    <d v="2028-05-31T00:00:00"/>
    <x v="32"/>
    <d v="2028-05-31T00:00:00"/>
    <n v="3744831372.5490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4"/>
    <m/>
    <d v="2028-06-30T00:00:00"/>
    <x v="33"/>
    <d v="2028-06-30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5"/>
    <m/>
    <d v="2028-07-31T00:00:00"/>
    <x v="34"/>
    <d v="2028-07-31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6"/>
    <m/>
    <d v="2028-08-31T00:00:00"/>
    <x v="35"/>
    <d v="2028-08-31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7"/>
    <m/>
    <d v="2028-09-30T00:00:00"/>
    <x v="36"/>
    <d v="2028-09-30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8"/>
    <m/>
    <d v="2028-10-31T00:00:00"/>
    <x v="37"/>
    <d v="2028-10-31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39"/>
    <m/>
    <d v="2028-11-30T00:00:00"/>
    <x v="38"/>
    <d v="2028-11-30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40"/>
    <m/>
    <d v="2028-12-31T00:00:00"/>
    <x v="39"/>
    <d v="2028-12-31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41"/>
    <m/>
    <d v="2029-01-31T00:00:00"/>
    <x v="40"/>
    <d v="2029-01-31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_CORE_CORE"/>
    <m/>
    <n v="42"/>
    <m/>
    <d v="2029-02-28T00:00:00"/>
    <x v="41"/>
    <d v="2029-02-28T00:00:00"/>
    <n v="171396078.4313726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P"/>
    <s v="CLP"/>
    <m/>
    <x v="12"/>
    <s v="CTA. VISTA"/>
    <m/>
    <m/>
    <m/>
    <d v="2025-09-24T00:00:00"/>
    <x v="74"/>
    <d v="2025-09-24T00:00:00"/>
    <n v="29702828042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"/>
    <m/>
    <d v="2025-09-30T00:00:00"/>
    <x v="0"/>
    <d v="2025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"/>
    <m/>
    <d v="2025-10-31T00:00:00"/>
    <x v="1"/>
    <d v="2025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"/>
    <m/>
    <d v="2025-11-30T00:00:00"/>
    <x v="2"/>
    <d v="2025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"/>
    <m/>
    <d v="2025-12-31T00:00:00"/>
    <x v="3"/>
    <d v="2025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"/>
    <m/>
    <d v="2026-01-31T00:00:00"/>
    <x v="4"/>
    <d v="2026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"/>
    <m/>
    <d v="2026-02-28T00:00:00"/>
    <x v="5"/>
    <d v="2026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"/>
    <m/>
    <d v="2026-03-31T00:00:00"/>
    <x v="6"/>
    <d v="2026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"/>
    <m/>
    <d v="2026-04-30T00:00:00"/>
    <x v="7"/>
    <d v="2026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"/>
    <m/>
    <d v="2026-05-31T00:00:00"/>
    <x v="8"/>
    <d v="2026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"/>
    <m/>
    <d v="2026-06-30T00:00:00"/>
    <x v="9"/>
    <d v="2026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"/>
    <m/>
    <d v="2026-07-31T00:00:00"/>
    <x v="10"/>
    <d v="2026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"/>
    <m/>
    <d v="2026-08-31T00:00:00"/>
    <x v="11"/>
    <d v="2026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"/>
    <m/>
    <d v="2026-09-30T00:00:00"/>
    <x v="12"/>
    <d v="2026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"/>
    <m/>
    <d v="2026-10-31T00:00:00"/>
    <x v="13"/>
    <d v="2026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"/>
    <m/>
    <d v="2026-11-30T00:00:00"/>
    <x v="14"/>
    <d v="2026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"/>
    <m/>
    <d v="2026-12-31T00:00:00"/>
    <x v="15"/>
    <d v="2026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"/>
    <m/>
    <d v="2027-01-31T00:00:00"/>
    <x v="16"/>
    <d v="2027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"/>
    <m/>
    <d v="2027-02-28T00:00:00"/>
    <x v="17"/>
    <d v="2027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"/>
    <m/>
    <d v="2027-03-31T00:00:00"/>
    <x v="18"/>
    <d v="2027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0"/>
    <m/>
    <d v="2027-04-30T00:00:00"/>
    <x v="19"/>
    <d v="2027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1"/>
    <m/>
    <d v="2027-05-31T00:00:00"/>
    <x v="20"/>
    <d v="2027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2"/>
    <m/>
    <d v="2027-06-30T00:00:00"/>
    <x v="21"/>
    <d v="2027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3"/>
    <m/>
    <d v="2027-07-31T00:00:00"/>
    <x v="22"/>
    <d v="2027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4"/>
    <m/>
    <d v="2027-08-31T00:00:00"/>
    <x v="23"/>
    <d v="2027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5"/>
    <m/>
    <d v="2027-09-30T00:00:00"/>
    <x v="24"/>
    <d v="2027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6"/>
    <m/>
    <d v="2027-10-31T00:00:00"/>
    <x v="25"/>
    <d v="2027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7"/>
    <m/>
    <d v="2027-11-30T00:00:00"/>
    <x v="26"/>
    <d v="2027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8"/>
    <m/>
    <d v="2027-12-31T00:00:00"/>
    <x v="27"/>
    <d v="2027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9"/>
    <m/>
    <d v="2028-01-31T00:00:00"/>
    <x v="28"/>
    <d v="2028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0"/>
    <m/>
    <d v="2028-02-29T00:00:00"/>
    <x v="29"/>
    <d v="2028-02-29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1"/>
    <m/>
    <d v="2028-03-31T00:00:00"/>
    <x v="30"/>
    <d v="2028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2"/>
    <m/>
    <d v="2028-04-30T00:00:00"/>
    <x v="31"/>
    <d v="2028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3"/>
    <m/>
    <d v="2028-05-31T00:00:00"/>
    <x v="32"/>
    <d v="2028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4"/>
    <m/>
    <d v="2028-06-30T00:00:00"/>
    <x v="33"/>
    <d v="2028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5"/>
    <m/>
    <d v="2028-07-31T00:00:00"/>
    <x v="34"/>
    <d v="2028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6"/>
    <m/>
    <d v="2028-08-31T00:00:00"/>
    <x v="35"/>
    <d v="2028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7"/>
    <m/>
    <d v="2028-09-30T00:00:00"/>
    <x v="36"/>
    <d v="2028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8"/>
    <m/>
    <d v="2028-10-31T00:00:00"/>
    <x v="37"/>
    <d v="2028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39"/>
    <m/>
    <d v="2028-11-30T00:00:00"/>
    <x v="38"/>
    <d v="2028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0"/>
    <m/>
    <d v="2028-12-31T00:00:00"/>
    <x v="39"/>
    <d v="2028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1"/>
    <m/>
    <d v="2029-01-31T00:00:00"/>
    <x v="40"/>
    <d v="2029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2"/>
    <m/>
    <d v="2029-02-28T00:00:00"/>
    <x v="41"/>
    <d v="2029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3"/>
    <m/>
    <d v="2029-03-31T00:00:00"/>
    <x v="42"/>
    <d v="2029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4"/>
    <m/>
    <d v="2029-04-30T00:00:00"/>
    <x v="43"/>
    <d v="2029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5"/>
    <m/>
    <d v="2029-05-31T00:00:00"/>
    <x v="44"/>
    <d v="2029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6"/>
    <m/>
    <d v="2029-06-30T00:00:00"/>
    <x v="45"/>
    <d v="2029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7"/>
    <m/>
    <d v="2029-07-31T00:00:00"/>
    <x v="46"/>
    <d v="2029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8"/>
    <m/>
    <d v="2029-08-31T00:00:00"/>
    <x v="47"/>
    <d v="2029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49"/>
    <m/>
    <d v="2029-09-30T00:00:00"/>
    <x v="48"/>
    <d v="2029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0"/>
    <m/>
    <d v="2029-10-31T00:00:00"/>
    <x v="49"/>
    <d v="2029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1"/>
    <m/>
    <d v="2029-11-30T00:00:00"/>
    <x v="50"/>
    <d v="2029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2"/>
    <m/>
    <d v="2029-12-31T00:00:00"/>
    <x v="51"/>
    <d v="2029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3"/>
    <m/>
    <d v="2030-01-31T00:00:00"/>
    <x v="52"/>
    <d v="2030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4"/>
    <m/>
    <d v="2030-02-28T00:00:00"/>
    <x v="53"/>
    <d v="2030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5"/>
    <m/>
    <d v="2030-03-31T00:00:00"/>
    <x v="54"/>
    <d v="2030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6"/>
    <m/>
    <d v="2030-04-30T00:00:00"/>
    <x v="55"/>
    <d v="2030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7"/>
    <m/>
    <d v="2030-05-31T00:00:00"/>
    <x v="56"/>
    <d v="2030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8"/>
    <m/>
    <d v="2030-06-30T00:00:00"/>
    <x v="57"/>
    <d v="2030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59"/>
    <m/>
    <d v="2030-07-31T00:00:00"/>
    <x v="58"/>
    <d v="2030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0"/>
    <m/>
    <d v="2030-08-31T00:00:00"/>
    <x v="59"/>
    <d v="2030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1"/>
    <m/>
    <d v="2030-09-30T00:00:00"/>
    <x v="60"/>
    <d v="2030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2"/>
    <m/>
    <d v="2030-10-31T00:00:00"/>
    <x v="61"/>
    <d v="2030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3"/>
    <m/>
    <d v="2030-11-30T00:00:00"/>
    <x v="62"/>
    <d v="2030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4"/>
    <m/>
    <d v="2030-12-31T00:00:00"/>
    <x v="63"/>
    <d v="2030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5"/>
    <m/>
    <d v="2031-01-31T00:00:00"/>
    <x v="64"/>
    <d v="2031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6"/>
    <m/>
    <d v="2031-02-28T00:00:00"/>
    <x v="65"/>
    <d v="2031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7"/>
    <m/>
    <d v="2031-03-31T00:00:00"/>
    <x v="66"/>
    <d v="2031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8"/>
    <m/>
    <d v="2031-04-30T00:00:00"/>
    <x v="67"/>
    <d v="2031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69"/>
    <m/>
    <d v="2031-05-31T00:00:00"/>
    <x v="68"/>
    <d v="2031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0"/>
    <m/>
    <d v="2031-06-30T00:00:00"/>
    <x v="69"/>
    <d v="2031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1"/>
    <m/>
    <d v="2031-07-31T00:00:00"/>
    <x v="70"/>
    <d v="2031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2"/>
    <m/>
    <d v="2031-08-31T00:00:00"/>
    <x v="71"/>
    <d v="2031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3"/>
    <m/>
    <d v="2031-09-30T00:00:00"/>
    <x v="72"/>
    <d v="2031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4"/>
    <m/>
    <d v="2031-10-31T00:00:00"/>
    <x v="73"/>
    <d v="2031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5"/>
    <m/>
    <d v="2031-11-30T00:00:00"/>
    <x v="75"/>
    <d v="2031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6"/>
    <m/>
    <d v="2031-12-31T00:00:00"/>
    <x v="76"/>
    <d v="2031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7"/>
    <m/>
    <d v="2032-01-31T00:00:00"/>
    <x v="77"/>
    <d v="2032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8"/>
    <m/>
    <d v="2032-02-29T00:00:00"/>
    <x v="78"/>
    <d v="2032-02-29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79"/>
    <m/>
    <d v="2032-03-31T00:00:00"/>
    <x v="79"/>
    <d v="2032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0"/>
    <m/>
    <d v="2032-04-30T00:00:00"/>
    <x v="80"/>
    <d v="2032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1"/>
    <m/>
    <d v="2032-05-31T00:00:00"/>
    <x v="81"/>
    <d v="2032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2"/>
    <m/>
    <d v="2032-06-30T00:00:00"/>
    <x v="82"/>
    <d v="2032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3"/>
    <m/>
    <d v="2032-07-31T00:00:00"/>
    <x v="83"/>
    <d v="2032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4"/>
    <m/>
    <d v="2032-08-31T00:00:00"/>
    <x v="84"/>
    <d v="2032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5"/>
    <m/>
    <d v="2032-09-30T00:00:00"/>
    <x v="85"/>
    <d v="2032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6"/>
    <m/>
    <d v="2032-10-31T00:00:00"/>
    <x v="86"/>
    <d v="2032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7"/>
    <m/>
    <d v="2032-11-30T00:00:00"/>
    <x v="87"/>
    <d v="2032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8"/>
    <m/>
    <d v="2032-12-31T00:00:00"/>
    <x v="88"/>
    <d v="2032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89"/>
    <m/>
    <d v="2033-01-31T00:00:00"/>
    <x v="89"/>
    <d v="2033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0"/>
    <m/>
    <d v="2033-02-28T00:00:00"/>
    <x v="90"/>
    <d v="2033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1"/>
    <m/>
    <d v="2033-03-31T00:00:00"/>
    <x v="91"/>
    <d v="2033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2"/>
    <m/>
    <d v="2033-04-30T00:00:00"/>
    <x v="92"/>
    <d v="2033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3"/>
    <m/>
    <d v="2033-05-31T00:00:00"/>
    <x v="93"/>
    <d v="2033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4"/>
    <m/>
    <d v="2033-06-30T00:00:00"/>
    <x v="94"/>
    <d v="2033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5"/>
    <m/>
    <d v="2033-07-31T00:00:00"/>
    <x v="95"/>
    <d v="2033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6"/>
    <m/>
    <d v="2033-08-31T00:00:00"/>
    <x v="96"/>
    <d v="2033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7"/>
    <m/>
    <d v="2033-09-30T00:00:00"/>
    <x v="97"/>
    <d v="2033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8"/>
    <m/>
    <d v="2033-10-31T00:00:00"/>
    <x v="98"/>
    <d v="2033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99"/>
    <m/>
    <d v="2033-11-30T00:00:00"/>
    <x v="99"/>
    <d v="2033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0"/>
    <m/>
    <d v="2033-12-31T00:00:00"/>
    <x v="100"/>
    <d v="2033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1"/>
    <m/>
    <d v="2034-01-31T00:00:00"/>
    <x v="101"/>
    <d v="2034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2"/>
    <m/>
    <d v="2034-02-28T00:00:00"/>
    <x v="102"/>
    <d v="2034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3"/>
    <m/>
    <d v="2034-03-31T00:00:00"/>
    <x v="103"/>
    <d v="2034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4"/>
    <m/>
    <d v="2034-04-30T00:00:00"/>
    <x v="104"/>
    <d v="2034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5"/>
    <m/>
    <d v="2034-05-31T00:00:00"/>
    <x v="105"/>
    <d v="2034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6"/>
    <m/>
    <d v="2034-06-30T00:00:00"/>
    <x v="106"/>
    <d v="2034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7"/>
    <m/>
    <d v="2034-07-31T00:00:00"/>
    <x v="107"/>
    <d v="2034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8"/>
    <m/>
    <d v="2034-08-31T00:00:00"/>
    <x v="108"/>
    <d v="2034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09"/>
    <m/>
    <d v="2034-09-30T00:00:00"/>
    <x v="109"/>
    <d v="2034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0"/>
    <m/>
    <d v="2034-10-31T00:00:00"/>
    <x v="110"/>
    <d v="2034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1"/>
    <m/>
    <d v="2034-11-30T00:00:00"/>
    <x v="111"/>
    <d v="2034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2"/>
    <m/>
    <d v="2034-12-31T00:00:00"/>
    <x v="112"/>
    <d v="2034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3"/>
    <m/>
    <d v="2035-01-31T00:00:00"/>
    <x v="113"/>
    <d v="2035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4"/>
    <m/>
    <d v="2035-02-28T00:00:00"/>
    <x v="114"/>
    <d v="2035-02-28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5"/>
    <m/>
    <d v="2035-03-31T00:00:00"/>
    <x v="115"/>
    <d v="2035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6"/>
    <m/>
    <d v="2035-04-30T00:00:00"/>
    <x v="116"/>
    <d v="2035-04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7"/>
    <m/>
    <d v="2035-05-31T00:00:00"/>
    <x v="117"/>
    <d v="2035-05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8"/>
    <m/>
    <d v="2035-06-30T00:00:00"/>
    <x v="118"/>
    <d v="2035-06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19"/>
    <m/>
    <d v="2035-07-31T00:00:00"/>
    <x v="119"/>
    <d v="2035-07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0"/>
    <m/>
    <d v="2035-08-31T00:00:00"/>
    <x v="120"/>
    <d v="2035-08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1"/>
    <m/>
    <d v="2035-09-30T00:00:00"/>
    <x v="121"/>
    <d v="2035-09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2"/>
    <m/>
    <d v="2035-10-31T00:00:00"/>
    <x v="122"/>
    <d v="2035-10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3"/>
    <m/>
    <d v="2035-11-30T00:00:00"/>
    <x v="123"/>
    <d v="2035-11-30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4"/>
    <m/>
    <d v="2035-12-31T00:00:00"/>
    <x v="124"/>
    <d v="2035-12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5"/>
    <m/>
    <d v="2036-01-31T00:00:00"/>
    <x v="125"/>
    <d v="2036-01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6"/>
    <m/>
    <d v="2036-02-29T00:00:00"/>
    <x v="126"/>
    <d v="2036-02-29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7"/>
    <m/>
    <d v="2036-03-31T00:00:00"/>
    <x v="127"/>
    <d v="2036-03-31T00:00:00"/>
    <n v="25679.99679878049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8"/>
    <m/>
    <d v="2036-04-30T00:00:00"/>
    <x v="128"/>
    <d v="2036-04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29"/>
    <m/>
    <d v="2036-05-31T00:00:00"/>
    <x v="129"/>
    <d v="2036-05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0"/>
    <m/>
    <d v="2036-06-30T00:00:00"/>
    <x v="130"/>
    <d v="2036-06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1"/>
    <m/>
    <d v="2036-07-31T00:00:00"/>
    <x v="131"/>
    <d v="2036-07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2"/>
    <m/>
    <d v="2036-08-31T00:00:00"/>
    <x v="132"/>
    <d v="2036-08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3"/>
    <m/>
    <d v="2036-09-30T00:00:00"/>
    <x v="133"/>
    <d v="2036-09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4"/>
    <m/>
    <d v="2036-10-31T00:00:00"/>
    <x v="134"/>
    <d v="2036-10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5"/>
    <m/>
    <d v="2036-11-30T00:00:00"/>
    <x v="135"/>
    <d v="2036-11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6"/>
    <m/>
    <d v="2036-12-31T00:00:00"/>
    <x v="136"/>
    <d v="2036-12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7"/>
    <m/>
    <d v="2037-01-31T00:00:00"/>
    <x v="137"/>
    <d v="2037-01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8"/>
    <m/>
    <d v="2037-02-28T00:00:00"/>
    <x v="138"/>
    <d v="2037-02-28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39"/>
    <m/>
    <d v="2037-03-31T00:00:00"/>
    <x v="139"/>
    <d v="2037-03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0"/>
    <m/>
    <d v="2037-04-30T00:00:00"/>
    <x v="140"/>
    <d v="2037-04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1"/>
    <m/>
    <d v="2037-05-31T00:00:00"/>
    <x v="141"/>
    <d v="2037-05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2"/>
    <m/>
    <d v="2037-06-30T00:00:00"/>
    <x v="142"/>
    <d v="2037-06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3"/>
    <m/>
    <d v="2037-07-31T00:00:00"/>
    <x v="143"/>
    <d v="2037-07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4"/>
    <m/>
    <d v="2037-08-31T00:00:00"/>
    <x v="144"/>
    <d v="2037-08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5"/>
    <m/>
    <d v="2037-09-30T00:00:00"/>
    <x v="145"/>
    <d v="2037-09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6"/>
    <m/>
    <d v="2037-10-31T00:00:00"/>
    <x v="146"/>
    <d v="2037-10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7"/>
    <m/>
    <d v="2037-11-30T00:00:00"/>
    <x v="147"/>
    <d v="2037-11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8"/>
    <m/>
    <d v="2037-12-31T00:00:00"/>
    <x v="148"/>
    <d v="2037-12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49"/>
    <m/>
    <d v="2038-01-31T00:00:00"/>
    <x v="149"/>
    <d v="2038-01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0"/>
    <m/>
    <d v="2038-02-28T00:00:00"/>
    <x v="150"/>
    <d v="2038-02-28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1"/>
    <m/>
    <d v="2038-03-31T00:00:00"/>
    <x v="151"/>
    <d v="2038-03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2"/>
    <m/>
    <d v="2038-04-30T00:00:00"/>
    <x v="152"/>
    <d v="2038-04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3"/>
    <m/>
    <d v="2038-05-31T00:00:00"/>
    <x v="153"/>
    <d v="2038-05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4"/>
    <m/>
    <d v="2038-06-30T00:00:00"/>
    <x v="154"/>
    <d v="2038-06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5"/>
    <m/>
    <d v="2038-07-31T00:00:00"/>
    <x v="155"/>
    <d v="2038-07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6"/>
    <m/>
    <d v="2038-08-31T00:00:00"/>
    <x v="156"/>
    <d v="2038-08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7"/>
    <m/>
    <d v="2038-09-30T00:00:00"/>
    <x v="157"/>
    <d v="2038-09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8"/>
    <m/>
    <d v="2038-10-31T00:00:00"/>
    <x v="158"/>
    <d v="2038-10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59"/>
    <m/>
    <d v="2038-11-30T00:00:00"/>
    <x v="159"/>
    <d v="2038-11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0"/>
    <m/>
    <d v="2038-12-31T00:00:00"/>
    <x v="160"/>
    <d v="2038-12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1"/>
    <m/>
    <d v="2039-01-31T00:00:00"/>
    <x v="161"/>
    <d v="2039-01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2"/>
    <m/>
    <d v="2039-02-28T00:00:00"/>
    <x v="162"/>
    <d v="2039-02-28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3"/>
    <m/>
    <d v="2039-03-31T00:00:00"/>
    <x v="163"/>
    <d v="2039-03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4"/>
    <m/>
    <d v="2039-04-30T00:00:00"/>
    <x v="164"/>
    <d v="2039-04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5"/>
    <m/>
    <d v="2039-05-31T00:00:00"/>
    <x v="165"/>
    <d v="2039-05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6"/>
    <m/>
    <d v="2039-06-30T00:00:00"/>
    <x v="166"/>
    <d v="2039-06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7"/>
    <m/>
    <d v="2039-07-31T00:00:00"/>
    <x v="167"/>
    <d v="2039-07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8"/>
    <m/>
    <d v="2039-08-31T00:00:00"/>
    <x v="168"/>
    <d v="2039-08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69"/>
    <m/>
    <d v="2039-09-30T00:00:00"/>
    <x v="169"/>
    <d v="2039-09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0"/>
    <m/>
    <d v="2039-10-31T00:00:00"/>
    <x v="170"/>
    <d v="2039-10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1"/>
    <m/>
    <d v="2039-11-30T00:00:00"/>
    <x v="171"/>
    <d v="2039-11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2"/>
    <m/>
    <d v="2039-12-31T00:00:00"/>
    <x v="172"/>
    <d v="2039-12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3"/>
    <m/>
    <d v="2040-01-31T00:00:00"/>
    <x v="173"/>
    <d v="2040-01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4"/>
    <m/>
    <d v="2040-02-29T00:00:00"/>
    <x v="174"/>
    <d v="2040-02-29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5"/>
    <m/>
    <d v="2040-03-31T00:00:00"/>
    <x v="175"/>
    <d v="2040-03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6"/>
    <m/>
    <d v="2040-04-30T00:00:00"/>
    <x v="176"/>
    <d v="2040-04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7"/>
    <m/>
    <d v="2040-05-31T00:00:00"/>
    <x v="177"/>
    <d v="2040-05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8"/>
    <m/>
    <d v="2040-06-30T00:00:00"/>
    <x v="178"/>
    <d v="2040-06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79"/>
    <m/>
    <d v="2040-07-31T00:00:00"/>
    <x v="179"/>
    <d v="2040-07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0"/>
    <m/>
    <d v="2040-08-31T00:00:00"/>
    <x v="180"/>
    <d v="2040-08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1"/>
    <m/>
    <d v="2040-09-30T00:00:00"/>
    <x v="181"/>
    <d v="2040-09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2"/>
    <m/>
    <d v="2040-10-31T00:00:00"/>
    <x v="182"/>
    <d v="2040-10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3"/>
    <m/>
    <d v="2040-11-30T00:00:00"/>
    <x v="183"/>
    <d v="2040-11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4"/>
    <m/>
    <d v="2040-12-31T00:00:00"/>
    <x v="184"/>
    <d v="2040-12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5"/>
    <m/>
    <d v="2041-01-31T00:00:00"/>
    <x v="185"/>
    <d v="2041-01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6"/>
    <m/>
    <d v="2041-02-28T00:00:00"/>
    <x v="186"/>
    <d v="2041-02-28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7"/>
    <m/>
    <d v="2041-03-31T00:00:00"/>
    <x v="187"/>
    <d v="2041-03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8"/>
    <m/>
    <d v="2041-04-30T00:00:00"/>
    <x v="188"/>
    <d v="2041-04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89"/>
    <m/>
    <d v="2041-05-31T00:00:00"/>
    <x v="189"/>
    <d v="2041-05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0"/>
    <m/>
    <d v="2041-06-30T00:00:00"/>
    <x v="190"/>
    <d v="2041-06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1"/>
    <m/>
    <d v="2041-07-31T00:00:00"/>
    <x v="191"/>
    <d v="2041-07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2"/>
    <m/>
    <d v="2041-08-31T00:00:00"/>
    <x v="192"/>
    <d v="2041-08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3"/>
    <m/>
    <d v="2041-09-30T00:00:00"/>
    <x v="193"/>
    <d v="2041-09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4"/>
    <m/>
    <d v="2041-10-31T00:00:00"/>
    <x v="194"/>
    <d v="2041-10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5"/>
    <m/>
    <d v="2041-11-30T00:00:00"/>
    <x v="195"/>
    <d v="2041-11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6"/>
    <m/>
    <d v="2041-12-31T00:00:00"/>
    <x v="196"/>
    <d v="2041-12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7"/>
    <m/>
    <d v="2042-01-31T00:00:00"/>
    <x v="197"/>
    <d v="2042-01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8"/>
    <m/>
    <d v="2042-02-28T00:00:00"/>
    <x v="198"/>
    <d v="2042-02-28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199"/>
    <m/>
    <d v="2042-03-31T00:00:00"/>
    <x v="199"/>
    <d v="2042-03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00"/>
    <m/>
    <d v="2042-04-30T00:00:00"/>
    <x v="200"/>
    <d v="2042-04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01"/>
    <m/>
    <d v="2042-05-31T00:00:00"/>
    <x v="201"/>
    <d v="2042-05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02"/>
    <m/>
    <d v="2042-06-30T00:00:00"/>
    <x v="202"/>
    <d v="2042-06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03"/>
    <m/>
    <d v="2042-07-31T00:00:00"/>
    <x v="203"/>
    <d v="2042-07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04"/>
    <m/>
    <d v="2042-08-31T00:00:00"/>
    <x v="204"/>
    <d v="2042-08-31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_CORE_CORE"/>
    <m/>
    <n v="205"/>
    <m/>
    <d v="2042-09-30T00:00:00"/>
    <x v="205"/>
    <d v="2042-09-30T00:00:00"/>
    <n v="1069.54367378048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DIF"/>
    <m/>
    <m/>
    <m/>
    <d v="2025-09-24T00:00:00"/>
    <x v="74"/>
    <d v="2025-09-24T00:00:00"/>
    <n v="1128840.121421327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"/>
    <m/>
    <d v="2025-09-30T00:00:00"/>
    <x v="0"/>
    <d v="2025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"/>
    <m/>
    <d v="2025-10-31T00:00:00"/>
    <x v="1"/>
    <d v="2025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"/>
    <m/>
    <d v="2025-11-30T00:00:00"/>
    <x v="2"/>
    <d v="2025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"/>
    <m/>
    <d v="2025-12-31T00:00:00"/>
    <x v="3"/>
    <d v="2025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"/>
    <m/>
    <d v="2026-01-31T00:00:00"/>
    <x v="4"/>
    <d v="2026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"/>
    <m/>
    <d v="2026-02-28T00:00:00"/>
    <x v="5"/>
    <d v="2026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"/>
    <m/>
    <d v="2026-03-31T00:00:00"/>
    <x v="6"/>
    <d v="2026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"/>
    <m/>
    <d v="2026-04-30T00:00:00"/>
    <x v="7"/>
    <d v="2026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"/>
    <m/>
    <d v="2026-05-31T00:00:00"/>
    <x v="8"/>
    <d v="2026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"/>
    <m/>
    <d v="2026-06-30T00:00:00"/>
    <x v="9"/>
    <d v="2026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"/>
    <m/>
    <d v="2026-07-31T00:00:00"/>
    <x v="10"/>
    <d v="2026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"/>
    <m/>
    <d v="2026-08-31T00:00:00"/>
    <x v="11"/>
    <d v="2026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"/>
    <m/>
    <d v="2026-09-30T00:00:00"/>
    <x v="12"/>
    <d v="2026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"/>
    <m/>
    <d v="2026-10-31T00:00:00"/>
    <x v="13"/>
    <d v="2026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"/>
    <m/>
    <d v="2026-11-30T00:00:00"/>
    <x v="14"/>
    <d v="2026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"/>
    <m/>
    <d v="2026-12-31T00:00:00"/>
    <x v="15"/>
    <d v="2026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"/>
    <m/>
    <d v="2027-01-31T00:00:00"/>
    <x v="16"/>
    <d v="2027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"/>
    <m/>
    <d v="2027-02-28T00:00:00"/>
    <x v="17"/>
    <d v="2027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"/>
    <m/>
    <d v="2027-03-31T00:00:00"/>
    <x v="18"/>
    <d v="2027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0"/>
    <m/>
    <d v="2027-04-30T00:00:00"/>
    <x v="19"/>
    <d v="2027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1"/>
    <m/>
    <d v="2027-05-31T00:00:00"/>
    <x v="20"/>
    <d v="2027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2"/>
    <m/>
    <d v="2027-06-30T00:00:00"/>
    <x v="21"/>
    <d v="2027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3"/>
    <m/>
    <d v="2027-07-31T00:00:00"/>
    <x v="22"/>
    <d v="2027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4"/>
    <m/>
    <d v="2027-08-31T00:00:00"/>
    <x v="23"/>
    <d v="2027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5"/>
    <m/>
    <d v="2027-09-30T00:00:00"/>
    <x v="24"/>
    <d v="2027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6"/>
    <m/>
    <d v="2027-10-31T00:00:00"/>
    <x v="25"/>
    <d v="2027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7"/>
    <m/>
    <d v="2027-11-30T00:00:00"/>
    <x v="26"/>
    <d v="2027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8"/>
    <m/>
    <d v="2027-12-31T00:00:00"/>
    <x v="27"/>
    <d v="2027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9"/>
    <m/>
    <d v="2028-01-31T00:00:00"/>
    <x v="28"/>
    <d v="2028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0"/>
    <m/>
    <d v="2028-02-29T00:00:00"/>
    <x v="29"/>
    <d v="2028-02-29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1"/>
    <m/>
    <d v="2028-03-31T00:00:00"/>
    <x v="30"/>
    <d v="2028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2"/>
    <m/>
    <d v="2028-04-30T00:00:00"/>
    <x v="31"/>
    <d v="2028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3"/>
    <m/>
    <d v="2028-05-31T00:00:00"/>
    <x v="32"/>
    <d v="2028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4"/>
    <m/>
    <d v="2028-06-30T00:00:00"/>
    <x v="33"/>
    <d v="2028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5"/>
    <m/>
    <d v="2028-07-31T00:00:00"/>
    <x v="34"/>
    <d v="2028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6"/>
    <m/>
    <d v="2028-08-31T00:00:00"/>
    <x v="35"/>
    <d v="2028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7"/>
    <m/>
    <d v="2028-09-30T00:00:00"/>
    <x v="36"/>
    <d v="2028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8"/>
    <m/>
    <d v="2028-10-31T00:00:00"/>
    <x v="37"/>
    <d v="2028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39"/>
    <m/>
    <d v="2028-11-30T00:00:00"/>
    <x v="38"/>
    <d v="2028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0"/>
    <m/>
    <d v="2028-12-31T00:00:00"/>
    <x v="39"/>
    <d v="2028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1"/>
    <m/>
    <d v="2029-01-31T00:00:00"/>
    <x v="40"/>
    <d v="2029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2"/>
    <m/>
    <d v="2029-02-28T00:00:00"/>
    <x v="41"/>
    <d v="2029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3"/>
    <m/>
    <d v="2029-03-31T00:00:00"/>
    <x v="42"/>
    <d v="2029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4"/>
    <m/>
    <d v="2029-04-30T00:00:00"/>
    <x v="43"/>
    <d v="2029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5"/>
    <m/>
    <d v="2029-05-31T00:00:00"/>
    <x v="44"/>
    <d v="2029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6"/>
    <m/>
    <d v="2029-06-30T00:00:00"/>
    <x v="45"/>
    <d v="2029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7"/>
    <m/>
    <d v="2029-07-31T00:00:00"/>
    <x v="46"/>
    <d v="2029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8"/>
    <m/>
    <d v="2029-08-31T00:00:00"/>
    <x v="47"/>
    <d v="2029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49"/>
    <m/>
    <d v="2029-09-30T00:00:00"/>
    <x v="48"/>
    <d v="2029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0"/>
    <m/>
    <d v="2029-10-31T00:00:00"/>
    <x v="49"/>
    <d v="2029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1"/>
    <m/>
    <d v="2029-11-30T00:00:00"/>
    <x v="50"/>
    <d v="2029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2"/>
    <m/>
    <d v="2029-12-31T00:00:00"/>
    <x v="51"/>
    <d v="2029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3"/>
    <m/>
    <d v="2030-01-31T00:00:00"/>
    <x v="52"/>
    <d v="2030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4"/>
    <m/>
    <d v="2030-02-28T00:00:00"/>
    <x v="53"/>
    <d v="2030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5"/>
    <m/>
    <d v="2030-03-31T00:00:00"/>
    <x v="54"/>
    <d v="2030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6"/>
    <m/>
    <d v="2030-04-30T00:00:00"/>
    <x v="55"/>
    <d v="2030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7"/>
    <m/>
    <d v="2030-05-31T00:00:00"/>
    <x v="56"/>
    <d v="2030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8"/>
    <m/>
    <d v="2030-06-30T00:00:00"/>
    <x v="57"/>
    <d v="2030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59"/>
    <m/>
    <d v="2030-07-31T00:00:00"/>
    <x v="58"/>
    <d v="2030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0"/>
    <m/>
    <d v="2030-08-31T00:00:00"/>
    <x v="59"/>
    <d v="2030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1"/>
    <m/>
    <d v="2030-09-30T00:00:00"/>
    <x v="60"/>
    <d v="2030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2"/>
    <m/>
    <d v="2030-10-31T00:00:00"/>
    <x v="61"/>
    <d v="2030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3"/>
    <m/>
    <d v="2030-11-30T00:00:00"/>
    <x v="62"/>
    <d v="2030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4"/>
    <m/>
    <d v="2030-12-31T00:00:00"/>
    <x v="63"/>
    <d v="2030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5"/>
    <m/>
    <d v="2031-01-31T00:00:00"/>
    <x v="64"/>
    <d v="2031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6"/>
    <m/>
    <d v="2031-02-28T00:00:00"/>
    <x v="65"/>
    <d v="2031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7"/>
    <m/>
    <d v="2031-03-31T00:00:00"/>
    <x v="66"/>
    <d v="2031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8"/>
    <m/>
    <d v="2031-04-30T00:00:00"/>
    <x v="67"/>
    <d v="2031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69"/>
    <m/>
    <d v="2031-05-31T00:00:00"/>
    <x v="68"/>
    <d v="2031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0"/>
    <m/>
    <d v="2031-06-30T00:00:00"/>
    <x v="69"/>
    <d v="2031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1"/>
    <m/>
    <d v="2031-07-31T00:00:00"/>
    <x v="70"/>
    <d v="2031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2"/>
    <m/>
    <d v="2031-08-31T00:00:00"/>
    <x v="71"/>
    <d v="2031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3"/>
    <m/>
    <d v="2031-09-30T00:00:00"/>
    <x v="72"/>
    <d v="2031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4"/>
    <m/>
    <d v="2031-10-31T00:00:00"/>
    <x v="73"/>
    <d v="2031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5"/>
    <m/>
    <d v="2031-11-30T00:00:00"/>
    <x v="75"/>
    <d v="2031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6"/>
    <m/>
    <d v="2031-12-31T00:00:00"/>
    <x v="76"/>
    <d v="2031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7"/>
    <m/>
    <d v="2032-01-31T00:00:00"/>
    <x v="77"/>
    <d v="2032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8"/>
    <m/>
    <d v="2032-02-29T00:00:00"/>
    <x v="78"/>
    <d v="2032-02-29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79"/>
    <m/>
    <d v="2032-03-31T00:00:00"/>
    <x v="79"/>
    <d v="2032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0"/>
    <m/>
    <d v="2032-04-30T00:00:00"/>
    <x v="80"/>
    <d v="2032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1"/>
    <m/>
    <d v="2032-05-31T00:00:00"/>
    <x v="81"/>
    <d v="2032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2"/>
    <m/>
    <d v="2032-06-30T00:00:00"/>
    <x v="82"/>
    <d v="2032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3"/>
    <m/>
    <d v="2032-07-31T00:00:00"/>
    <x v="83"/>
    <d v="2032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4"/>
    <m/>
    <d v="2032-08-31T00:00:00"/>
    <x v="84"/>
    <d v="2032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5"/>
    <m/>
    <d v="2032-09-30T00:00:00"/>
    <x v="85"/>
    <d v="2032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6"/>
    <m/>
    <d v="2032-10-31T00:00:00"/>
    <x v="86"/>
    <d v="2032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7"/>
    <m/>
    <d v="2032-11-30T00:00:00"/>
    <x v="87"/>
    <d v="2032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8"/>
    <m/>
    <d v="2032-12-31T00:00:00"/>
    <x v="88"/>
    <d v="2032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89"/>
    <m/>
    <d v="2033-01-31T00:00:00"/>
    <x v="89"/>
    <d v="2033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0"/>
    <m/>
    <d v="2033-02-28T00:00:00"/>
    <x v="90"/>
    <d v="2033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1"/>
    <m/>
    <d v="2033-03-31T00:00:00"/>
    <x v="91"/>
    <d v="2033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2"/>
    <m/>
    <d v="2033-04-30T00:00:00"/>
    <x v="92"/>
    <d v="2033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3"/>
    <m/>
    <d v="2033-05-31T00:00:00"/>
    <x v="93"/>
    <d v="2033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4"/>
    <m/>
    <d v="2033-06-30T00:00:00"/>
    <x v="94"/>
    <d v="2033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5"/>
    <m/>
    <d v="2033-07-31T00:00:00"/>
    <x v="95"/>
    <d v="2033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6"/>
    <m/>
    <d v="2033-08-31T00:00:00"/>
    <x v="96"/>
    <d v="2033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7"/>
    <m/>
    <d v="2033-09-30T00:00:00"/>
    <x v="97"/>
    <d v="2033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8"/>
    <m/>
    <d v="2033-10-31T00:00:00"/>
    <x v="98"/>
    <d v="2033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99"/>
    <m/>
    <d v="2033-11-30T00:00:00"/>
    <x v="99"/>
    <d v="2033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0"/>
    <m/>
    <d v="2033-12-31T00:00:00"/>
    <x v="100"/>
    <d v="2033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1"/>
    <m/>
    <d v="2034-01-31T00:00:00"/>
    <x v="101"/>
    <d v="2034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2"/>
    <m/>
    <d v="2034-02-28T00:00:00"/>
    <x v="102"/>
    <d v="2034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3"/>
    <m/>
    <d v="2034-03-31T00:00:00"/>
    <x v="103"/>
    <d v="2034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4"/>
    <m/>
    <d v="2034-04-30T00:00:00"/>
    <x v="104"/>
    <d v="2034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5"/>
    <m/>
    <d v="2034-05-31T00:00:00"/>
    <x v="105"/>
    <d v="2034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6"/>
    <m/>
    <d v="2034-06-30T00:00:00"/>
    <x v="106"/>
    <d v="2034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7"/>
    <m/>
    <d v="2034-07-31T00:00:00"/>
    <x v="107"/>
    <d v="2034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8"/>
    <m/>
    <d v="2034-08-31T00:00:00"/>
    <x v="108"/>
    <d v="2034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09"/>
    <m/>
    <d v="2034-09-30T00:00:00"/>
    <x v="109"/>
    <d v="2034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0"/>
    <m/>
    <d v="2034-10-31T00:00:00"/>
    <x v="110"/>
    <d v="2034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1"/>
    <m/>
    <d v="2034-11-30T00:00:00"/>
    <x v="111"/>
    <d v="2034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2"/>
    <m/>
    <d v="2034-12-31T00:00:00"/>
    <x v="112"/>
    <d v="2034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3"/>
    <m/>
    <d v="2035-01-31T00:00:00"/>
    <x v="113"/>
    <d v="2035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4"/>
    <m/>
    <d v="2035-02-28T00:00:00"/>
    <x v="114"/>
    <d v="2035-02-28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5"/>
    <m/>
    <d v="2035-03-31T00:00:00"/>
    <x v="115"/>
    <d v="2035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6"/>
    <m/>
    <d v="2035-04-30T00:00:00"/>
    <x v="116"/>
    <d v="2035-04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7"/>
    <m/>
    <d v="2035-05-31T00:00:00"/>
    <x v="117"/>
    <d v="2035-05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8"/>
    <m/>
    <d v="2035-06-30T00:00:00"/>
    <x v="118"/>
    <d v="2035-06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19"/>
    <m/>
    <d v="2035-07-31T00:00:00"/>
    <x v="119"/>
    <d v="2035-07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0"/>
    <m/>
    <d v="2035-08-31T00:00:00"/>
    <x v="120"/>
    <d v="2035-08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1"/>
    <m/>
    <d v="2035-09-30T00:00:00"/>
    <x v="121"/>
    <d v="2035-09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2"/>
    <m/>
    <d v="2035-10-31T00:00:00"/>
    <x v="122"/>
    <d v="2035-10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3"/>
    <m/>
    <d v="2035-11-30T00:00:00"/>
    <x v="123"/>
    <d v="2035-11-30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4"/>
    <m/>
    <d v="2035-12-31T00:00:00"/>
    <x v="124"/>
    <d v="2035-12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5"/>
    <m/>
    <d v="2036-01-31T00:00:00"/>
    <x v="125"/>
    <d v="2036-01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6"/>
    <m/>
    <d v="2036-02-29T00:00:00"/>
    <x v="126"/>
    <d v="2036-02-29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7"/>
    <m/>
    <d v="2036-03-31T00:00:00"/>
    <x v="127"/>
    <d v="2036-03-31T00:00:00"/>
    <n v="8300.060365853658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8"/>
    <m/>
    <d v="2036-04-30T00:00:00"/>
    <x v="128"/>
    <d v="2036-04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29"/>
    <m/>
    <d v="2036-05-31T00:00:00"/>
    <x v="129"/>
    <d v="2036-05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0"/>
    <m/>
    <d v="2036-06-30T00:00:00"/>
    <x v="130"/>
    <d v="2036-06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1"/>
    <m/>
    <d v="2036-07-31T00:00:00"/>
    <x v="131"/>
    <d v="2036-07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2"/>
    <m/>
    <d v="2036-08-31T00:00:00"/>
    <x v="132"/>
    <d v="2036-08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3"/>
    <m/>
    <d v="2036-09-30T00:00:00"/>
    <x v="133"/>
    <d v="2036-09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4"/>
    <m/>
    <d v="2036-10-31T00:00:00"/>
    <x v="134"/>
    <d v="2036-10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5"/>
    <m/>
    <d v="2036-11-30T00:00:00"/>
    <x v="135"/>
    <d v="2036-11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6"/>
    <m/>
    <d v="2036-12-31T00:00:00"/>
    <x v="136"/>
    <d v="2036-12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7"/>
    <m/>
    <d v="2037-01-31T00:00:00"/>
    <x v="137"/>
    <d v="2037-01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8"/>
    <m/>
    <d v="2037-02-28T00:00:00"/>
    <x v="138"/>
    <d v="2037-02-28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39"/>
    <m/>
    <d v="2037-03-31T00:00:00"/>
    <x v="139"/>
    <d v="2037-03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0"/>
    <m/>
    <d v="2037-04-30T00:00:00"/>
    <x v="140"/>
    <d v="2037-04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1"/>
    <m/>
    <d v="2037-05-31T00:00:00"/>
    <x v="141"/>
    <d v="2037-05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2"/>
    <m/>
    <d v="2037-06-30T00:00:00"/>
    <x v="142"/>
    <d v="2037-06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3"/>
    <m/>
    <d v="2037-07-31T00:00:00"/>
    <x v="143"/>
    <d v="2037-07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4"/>
    <m/>
    <d v="2037-08-31T00:00:00"/>
    <x v="144"/>
    <d v="2037-08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5"/>
    <m/>
    <d v="2037-09-30T00:00:00"/>
    <x v="145"/>
    <d v="2037-09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6"/>
    <m/>
    <d v="2037-10-31T00:00:00"/>
    <x v="146"/>
    <d v="2037-10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7"/>
    <m/>
    <d v="2037-11-30T00:00:00"/>
    <x v="147"/>
    <d v="2037-11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8"/>
    <m/>
    <d v="2037-12-31T00:00:00"/>
    <x v="148"/>
    <d v="2037-12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49"/>
    <m/>
    <d v="2038-01-31T00:00:00"/>
    <x v="149"/>
    <d v="2038-01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0"/>
    <m/>
    <d v="2038-02-28T00:00:00"/>
    <x v="150"/>
    <d v="2038-02-28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1"/>
    <m/>
    <d v="2038-03-31T00:00:00"/>
    <x v="151"/>
    <d v="2038-03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2"/>
    <m/>
    <d v="2038-04-30T00:00:00"/>
    <x v="152"/>
    <d v="2038-04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3"/>
    <m/>
    <d v="2038-05-31T00:00:00"/>
    <x v="153"/>
    <d v="2038-05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4"/>
    <m/>
    <d v="2038-06-30T00:00:00"/>
    <x v="154"/>
    <d v="2038-06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5"/>
    <m/>
    <d v="2038-07-31T00:00:00"/>
    <x v="155"/>
    <d v="2038-07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6"/>
    <m/>
    <d v="2038-08-31T00:00:00"/>
    <x v="156"/>
    <d v="2038-08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7"/>
    <m/>
    <d v="2038-09-30T00:00:00"/>
    <x v="157"/>
    <d v="2038-09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8"/>
    <m/>
    <d v="2038-10-31T00:00:00"/>
    <x v="158"/>
    <d v="2038-10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59"/>
    <m/>
    <d v="2038-11-30T00:00:00"/>
    <x v="159"/>
    <d v="2038-11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0"/>
    <m/>
    <d v="2038-12-31T00:00:00"/>
    <x v="160"/>
    <d v="2038-12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1"/>
    <m/>
    <d v="2039-01-31T00:00:00"/>
    <x v="161"/>
    <d v="2039-01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2"/>
    <m/>
    <d v="2039-02-28T00:00:00"/>
    <x v="162"/>
    <d v="2039-02-28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3"/>
    <m/>
    <d v="2039-03-31T00:00:00"/>
    <x v="163"/>
    <d v="2039-03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4"/>
    <m/>
    <d v="2039-04-30T00:00:00"/>
    <x v="164"/>
    <d v="2039-04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5"/>
    <m/>
    <d v="2039-05-31T00:00:00"/>
    <x v="165"/>
    <d v="2039-05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6"/>
    <m/>
    <d v="2039-06-30T00:00:00"/>
    <x v="166"/>
    <d v="2039-06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7"/>
    <m/>
    <d v="2039-07-31T00:00:00"/>
    <x v="167"/>
    <d v="2039-07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8"/>
    <m/>
    <d v="2039-08-31T00:00:00"/>
    <x v="168"/>
    <d v="2039-08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69"/>
    <m/>
    <d v="2039-09-30T00:00:00"/>
    <x v="169"/>
    <d v="2039-09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0"/>
    <m/>
    <d v="2039-10-31T00:00:00"/>
    <x v="170"/>
    <d v="2039-10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1"/>
    <m/>
    <d v="2039-11-30T00:00:00"/>
    <x v="171"/>
    <d v="2039-11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2"/>
    <m/>
    <d v="2039-12-31T00:00:00"/>
    <x v="172"/>
    <d v="2039-12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3"/>
    <m/>
    <d v="2040-01-31T00:00:00"/>
    <x v="173"/>
    <d v="2040-01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4"/>
    <m/>
    <d v="2040-02-29T00:00:00"/>
    <x v="174"/>
    <d v="2040-02-29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5"/>
    <m/>
    <d v="2040-03-31T00:00:00"/>
    <x v="175"/>
    <d v="2040-03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6"/>
    <m/>
    <d v="2040-04-30T00:00:00"/>
    <x v="176"/>
    <d v="2040-04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7"/>
    <m/>
    <d v="2040-05-31T00:00:00"/>
    <x v="177"/>
    <d v="2040-05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8"/>
    <m/>
    <d v="2040-06-30T00:00:00"/>
    <x v="178"/>
    <d v="2040-06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79"/>
    <m/>
    <d v="2040-07-31T00:00:00"/>
    <x v="179"/>
    <d v="2040-07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0"/>
    <m/>
    <d v="2040-08-31T00:00:00"/>
    <x v="180"/>
    <d v="2040-08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1"/>
    <m/>
    <d v="2040-09-30T00:00:00"/>
    <x v="181"/>
    <d v="2040-09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2"/>
    <m/>
    <d v="2040-10-31T00:00:00"/>
    <x v="182"/>
    <d v="2040-10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3"/>
    <m/>
    <d v="2040-11-30T00:00:00"/>
    <x v="183"/>
    <d v="2040-11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4"/>
    <m/>
    <d v="2040-12-31T00:00:00"/>
    <x v="184"/>
    <d v="2040-12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5"/>
    <m/>
    <d v="2041-01-31T00:00:00"/>
    <x v="185"/>
    <d v="2041-01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6"/>
    <m/>
    <d v="2041-02-28T00:00:00"/>
    <x v="186"/>
    <d v="2041-02-28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7"/>
    <m/>
    <d v="2041-03-31T00:00:00"/>
    <x v="187"/>
    <d v="2041-03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8"/>
    <m/>
    <d v="2041-04-30T00:00:00"/>
    <x v="188"/>
    <d v="2041-04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89"/>
    <m/>
    <d v="2041-05-31T00:00:00"/>
    <x v="189"/>
    <d v="2041-05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0"/>
    <m/>
    <d v="2041-06-30T00:00:00"/>
    <x v="190"/>
    <d v="2041-06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1"/>
    <m/>
    <d v="2041-07-31T00:00:00"/>
    <x v="191"/>
    <d v="2041-07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2"/>
    <m/>
    <d v="2041-08-31T00:00:00"/>
    <x v="192"/>
    <d v="2041-08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3"/>
    <m/>
    <d v="2041-09-30T00:00:00"/>
    <x v="193"/>
    <d v="2041-09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4"/>
    <m/>
    <d v="2041-10-31T00:00:00"/>
    <x v="194"/>
    <d v="2041-10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5"/>
    <m/>
    <d v="2041-11-30T00:00:00"/>
    <x v="195"/>
    <d v="2041-11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6"/>
    <m/>
    <d v="2041-12-31T00:00:00"/>
    <x v="196"/>
    <d v="2041-12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7"/>
    <m/>
    <d v="2042-01-31T00:00:00"/>
    <x v="197"/>
    <d v="2042-01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8"/>
    <m/>
    <d v="2042-02-28T00:00:00"/>
    <x v="198"/>
    <d v="2042-02-28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199"/>
    <m/>
    <d v="2042-03-31T00:00:00"/>
    <x v="199"/>
    <d v="2042-03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00"/>
    <m/>
    <d v="2042-04-30T00:00:00"/>
    <x v="200"/>
    <d v="2042-04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01"/>
    <m/>
    <d v="2042-05-31T00:00:00"/>
    <x v="201"/>
    <d v="2042-05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02"/>
    <m/>
    <d v="2042-06-30T00:00:00"/>
    <x v="202"/>
    <d v="2042-06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03"/>
    <m/>
    <d v="2042-07-31T00:00:00"/>
    <x v="203"/>
    <d v="2042-07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04"/>
    <m/>
    <d v="2042-08-31T00:00:00"/>
    <x v="204"/>
    <d v="2042-08-31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_CORE_CORE"/>
    <m/>
    <n v="205"/>
    <m/>
    <d v="2042-09-30T00:00:00"/>
    <x v="205"/>
    <d v="2042-09-30T00:00:00"/>
    <n v="13.74786585365854"/>
    <m/>
    <m/>
    <m/>
    <m/>
    <m/>
    <n v="1"/>
    <s v="BALANCE TASAS"/>
    <m/>
    <s v="BALANCE TASAS"/>
    <s v="HTM"/>
    <n v="1"/>
    <m/>
    <m/>
    <m/>
  </r>
  <r>
    <d v="2025-09-23T00:00:00"/>
    <n v="1"/>
    <m/>
    <s v="PAS"/>
    <s v="CLF"/>
    <s v="CLF"/>
    <m/>
    <x v="13"/>
    <s v="CTA. AHORRO G.INC"/>
    <m/>
    <m/>
    <m/>
    <d v="2025-09-24T00:00:00"/>
    <x v="74"/>
    <d v="2025-09-24T00:00:00"/>
    <n v="43068.52522372059"/>
    <m/>
    <m/>
    <m/>
    <m/>
    <m/>
    <n v="1"/>
    <s v="BALANCE TASAS"/>
    <m/>
    <s v="BALANCE TASAS"/>
    <s v="HTM"/>
    <n v="1"/>
    <m/>
    <m/>
    <m/>
  </r>
  <r>
    <m/>
    <m/>
    <m/>
    <m/>
    <m/>
    <m/>
    <m/>
    <x v="14"/>
    <m/>
    <m/>
    <m/>
    <m/>
    <m/>
    <x v="206"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dinamica_control" cacheId="5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0" colGrandTotals="0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B1:H208" firstHeaderRow="1" firstDataRow="2" firstDataCol="1"/>
  <pivotFields count="32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ascending" defaultSubtotal="1">
      <items count="16">
        <item t="data" sd="1" x="12"/>
        <item t="data" sd="1" x="13"/>
        <item t="data" sd="1" x="11"/>
        <item t="data" sd="1" x="6"/>
        <item t="data" h="1" sd="1" x="7"/>
        <item t="data" h="1" sd="1" x="8"/>
        <item t="data" h="1" sd="1" x="9"/>
        <item t="data" h="1" sd="1" x="10"/>
        <item t="data" sd="1" x="0"/>
        <item t="data" h="1" sd="1" x="1"/>
        <item t="data" h="1" sd="1" x="2"/>
        <item t="data" sd="1" x="3"/>
        <item t="data" h="1" sd="1" x="4"/>
        <item t="data" h="1" sd="1" x="5"/>
        <item t="data" h="1" sd="1" x="1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06">
        <item t="data" sd="1" m="1" x="212"/>
        <item t="data" sd="1" m="1" x="211"/>
        <item t="data" sd="1" m="1" x="213"/>
        <item t="data" sd="1" m="1" x="210"/>
        <item t="data" sd="1" m="1" x="214"/>
        <item t="data" sd="1" m="1" x="215"/>
        <item t="data" sd="1" m="1" x="216"/>
        <item t="data" sd="1" m="1" x="217"/>
        <item t="data" sd="1" m="1" x="218"/>
        <item t="data" sd="1" m="1" x="219"/>
        <item t="data" sd="1" m="1" x="220"/>
        <item t="data" sd="1" m="1" x="221"/>
        <item t="data" sd="1" m="1" x="222"/>
        <item t="data" sd="1" m="1" x="223"/>
        <item t="data" sd="1" m="1" x="224"/>
        <item t="data" sd="1" m="1" x="225"/>
        <item t="data" sd="1" m="1" x="209"/>
        <item t="data" sd="1" m="1" x="226"/>
        <item t="data" sd="1" m="1" x="227"/>
        <item t="data" sd="1" m="1" x="228"/>
        <item t="data" sd="1" m="1" x="208"/>
        <item t="data" sd="1" m="1" x="207"/>
        <item t="data" sd="1" m="1" x="229"/>
        <item t="data" sd="1" m="1" x="230"/>
        <item t="data" sd="1" m="1" x="231"/>
        <item t="data" sd="1" m="1" x="232"/>
        <item t="data" sd="1" m="1" x="233"/>
        <item t="data" sd="1" x="74"/>
        <item t="data" sd="1" m="1" x="234"/>
        <item t="data" sd="1" m="1" x="235"/>
        <item t="data" sd="1" m="1" x="236"/>
        <item t="data" sd="1" m="1" x="237"/>
        <item t="data" sd="1" m="1" x="238"/>
        <item t="data" sd="1" x="0"/>
        <item t="data" sd="1" m="1" x="239"/>
        <item t="data" sd="1" m="1" x="240"/>
        <item t="data" sd="1" m="1" x="241"/>
        <item t="data" sd="1" m="1" x="242"/>
        <item t="data" sd="1" m="1" x="243"/>
        <item t="data" sd="1" m="1" x="244"/>
        <item t="data" sd="1" m="1" x="245"/>
        <item t="data" sd="1" m="1" x="246"/>
        <item t="data" sd="1" m="1" x="247"/>
        <item t="data" sd="1" m="1" x="248"/>
        <item t="data" sd="1" m="1" x="249"/>
        <item t="data" sd="1" m="1" x="250"/>
        <item t="data" sd="1" m="1" x="251"/>
        <item t="data" sd="1" m="1" x="252"/>
        <item t="data" sd="1" m="1" x="253"/>
        <item t="data" sd="1" m="1" x="254"/>
        <item t="data" sd="1" m="1" x="255"/>
        <item t="data" sd="1" m="1" x="256"/>
        <item t="data" sd="1" m="1" x="257"/>
        <item t="data" sd="1" m="1" x="258"/>
        <item t="data" sd="1" m="1" x="259"/>
        <item t="data" sd="1" m="1" x="260"/>
        <item t="data" sd="1" m="1" x="261"/>
        <item t="data" sd="1" m="1" x="262"/>
        <item t="data" sd="1" m="1" x="263"/>
        <item t="data" sd="1" m="1" x="264"/>
        <item t="data" sd="1" m="1" x="265"/>
        <item t="data" sd="1" m="1" x="266"/>
        <item t="data" sd="1" m="1" x="267"/>
        <item t="data" sd="1" m="1" x="268"/>
        <item t="data" sd="1" x="1"/>
        <item t="data" sd="1" m="1" x="269"/>
        <item t="data" sd="1" m="1" x="270"/>
        <item t="data" sd="1" m="1" x="271"/>
        <item t="data" sd="1" m="1" x="272"/>
        <item t="data" sd="1" m="1" x="273"/>
        <item t="data" sd="1" m="1" x="274"/>
        <item t="data" sd="1" m="1" x="275"/>
        <item t="data" sd="1" m="1" x="276"/>
        <item t="data" sd="1" m="1" x="277"/>
        <item t="data" sd="1" m="1" x="278"/>
        <item t="data" sd="1" m="1" x="279"/>
        <item t="data" sd="1" m="1" x="280"/>
        <item t="data" sd="1" m="1" x="281"/>
        <item t="data" sd="1" m="1" x="282"/>
        <item t="data" sd="1" m="1" x="283"/>
        <item t="data" sd="1" m="1" x="284"/>
        <item t="data" sd="1" m="1" x="285"/>
        <item t="data" sd="1" m="1" x="286"/>
        <item t="data" sd="1" m="1" x="287"/>
        <item t="data" sd="1" m="1" x="288"/>
        <item t="data" sd="1" m="1" x="289"/>
        <item t="data" sd="1" m="1" x="290"/>
        <item t="data" sd="1" m="1" x="291"/>
        <item t="data" sd="1" m="1" x="292"/>
        <item t="data" sd="1" m="1" x="293"/>
        <item t="data" sd="1" m="1" x="294"/>
        <item t="data" sd="1" m="1" x="295"/>
        <item t="data" sd="1" m="1" x="296"/>
        <item t="data" sd="1" m="1" x="297"/>
        <item t="data" sd="1" x="2"/>
        <item t="data" sd="1" m="1" x="298"/>
        <item t="data" sd="1" m="1" x="299"/>
        <item t="data" sd="1" m="1" x="300"/>
        <item t="data" sd="1" m="1" x="301"/>
        <item t="data" sd="1" m="1" x="302"/>
        <item t="data" sd="1" m="1" x="303"/>
        <item t="data" sd="1" m="1" x="304"/>
        <item t="data" sd="1" x="206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ata" sd="1" x="49"/>
        <item t="data" sd="1" x="50"/>
        <item t="data" sd="1" x="51"/>
        <item t="data" sd="1" x="52"/>
        <item t="data" sd="1" x="53"/>
        <item t="data" sd="1" x="54"/>
        <item t="data" sd="1" x="55"/>
        <item t="data" sd="1" x="56"/>
        <item t="data" sd="1" x="57"/>
        <item t="data" sd="1" x="58"/>
        <item t="data" sd="1" x="59"/>
        <item t="data" sd="1" x="60"/>
        <item t="data" sd="1" x="61"/>
        <item t="data" sd="1" x="62"/>
        <item t="data" sd="1" x="63"/>
        <item t="data" sd="1" x="64"/>
        <item t="data" sd="1" x="65"/>
        <item t="data" sd="1" x="66"/>
        <item t="data" sd="1" x="67"/>
        <item t="data" sd="1" x="68"/>
        <item t="data" sd="1" x="69"/>
        <item t="data" sd="1" x="70"/>
        <item t="data" sd="1" x="71"/>
        <item t="data" sd="1" x="72"/>
        <item t="data" sd="1" x="73"/>
        <item t="data" sd="1" x="75"/>
        <item t="data" sd="1" x="76"/>
        <item t="data" sd="1" x="77"/>
        <item t="data" sd="1" x="78"/>
        <item t="data" sd="1" x="79"/>
        <item t="data" sd="1" x="80"/>
        <item t="data" sd="1" x="81"/>
        <item t="data" sd="1" x="82"/>
        <item t="data" sd="1" x="83"/>
        <item t="data" sd="1" x="84"/>
        <item t="data" sd="1" x="85"/>
        <item t="data" sd="1" x="86"/>
        <item t="data" sd="1" x="87"/>
        <item t="data" sd="1" x="88"/>
        <item t="data" sd="1" x="89"/>
        <item t="data" sd="1" x="90"/>
        <item t="data" sd="1" x="91"/>
        <item t="data" sd="1" x="92"/>
        <item t="data" sd="1" x="93"/>
        <item t="data" sd="1" x="94"/>
        <item t="data" sd="1" x="95"/>
        <item t="data" sd="1" x="96"/>
        <item t="data" sd="1" x="97"/>
        <item t="data" sd="1" x="98"/>
        <item t="data" sd="1" x="99"/>
        <item t="data" sd="1" x="100"/>
        <item t="data" sd="1" x="101"/>
        <item t="data" sd="1" x="102"/>
        <item t="data" sd="1" x="103"/>
        <item t="data" sd="1" x="104"/>
        <item t="data" sd="1" x="105"/>
        <item t="data" sd="1" x="106"/>
        <item t="data" sd="1" x="107"/>
        <item t="data" sd="1" x="108"/>
        <item t="data" sd="1" x="109"/>
        <item t="data" sd="1" x="110"/>
        <item t="data" sd="1" x="111"/>
        <item t="data" sd="1" x="112"/>
        <item t="data" sd="1" x="113"/>
        <item t="data" sd="1" x="114"/>
        <item t="data" sd="1" x="115"/>
        <item t="data" sd="1" x="116"/>
        <item t="data" sd="1" x="117"/>
        <item t="data" sd="1" x="118"/>
        <item t="data" sd="1" x="119"/>
        <item t="data" sd="1" x="120"/>
        <item t="data" sd="1" x="121"/>
        <item t="data" sd="1" x="122"/>
        <item t="data" sd="1" x="123"/>
        <item t="data" sd="1" x="124"/>
        <item t="data" sd="1" x="125"/>
        <item t="data" sd="1" x="126"/>
        <item t="data" sd="1" x="127"/>
        <item t="data" sd="1" x="128"/>
        <item t="data" sd="1" x="129"/>
        <item t="data" sd="1" x="130"/>
        <item t="data" sd="1" x="131"/>
        <item t="data" sd="1" x="132"/>
        <item t="data" sd="1" x="133"/>
        <item t="data" sd="1" x="134"/>
        <item t="data" sd="1" x="135"/>
        <item t="data" sd="1" x="136"/>
        <item t="data" sd="1" x="137"/>
        <item t="data" sd="1" x="138"/>
        <item t="data" sd="1" x="139"/>
        <item t="data" sd="1" x="140"/>
        <item t="data" sd="1" x="141"/>
        <item t="data" sd="1" x="142"/>
        <item t="data" sd="1" x="143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ata" sd="1" x="158"/>
        <item t="data" sd="1" x="159"/>
        <item t="data" sd="1" x="160"/>
        <item t="data" sd="1" x="161"/>
        <item t="data" sd="1" x="162"/>
        <item t="data" sd="1" x="163"/>
        <item t="data" sd="1" x="164"/>
        <item t="data" sd="1" x="165"/>
        <item t="data" sd="1" x="166"/>
        <item t="data" sd="1" x="167"/>
        <item t="data" sd="1" x="168"/>
        <item t="data" sd="1" x="169"/>
        <item t="data" sd="1" x="170"/>
        <item t="data" sd="1" x="171"/>
        <item t="data" sd="1" x="172"/>
        <item t="data" sd="1" x="173"/>
        <item t="data" sd="1" x="174"/>
        <item t="data" sd="1" x="175"/>
        <item t="data" sd="1" x="176"/>
        <item t="data" sd="1" x="177"/>
        <item t="data" sd="1" x="178"/>
        <item t="data" sd="1" x="179"/>
        <item t="data" sd="1" x="180"/>
        <item t="data" sd="1" x="181"/>
        <item t="data" sd="1" x="182"/>
        <item t="data" sd="1" x="183"/>
        <item t="data" sd="1" x="184"/>
        <item t="data" sd="1" x="185"/>
        <item t="data" sd="1" x="186"/>
        <item t="data" sd="1" x="187"/>
        <item t="data" sd="1" x="188"/>
        <item t="data" sd="1" x="189"/>
        <item t="data" sd="1" x="190"/>
        <item t="data" sd="1" x="191"/>
        <item t="data" sd="1" x="192"/>
        <item t="data" sd="1" x="193"/>
        <item t="data" sd="1" x="194"/>
        <item t="data" sd="1" x="195"/>
        <item t="data" sd="1" x="196"/>
        <item t="data" sd="1" x="197"/>
        <item t="data" sd="1" x="198"/>
        <item t="data" sd="1" x="199"/>
        <item t="data" sd="1" x="200"/>
        <item t="data" sd="1" x="201"/>
        <item t="data" sd="1" x="202"/>
        <item t="data" sd="1" x="203"/>
        <item t="data" sd="1" x="204"/>
        <item t="data" sd="1" x="205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369"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ata" sd="0" x="14"/>
        <item t="data" sd="0" x="15"/>
        <item t="data" sd="0" x="16"/>
        <item t="data" sd="0" x="17"/>
        <item t="data" sd="0" x="18"/>
        <item t="data" sd="0" x="19"/>
        <item t="data" sd="0" x="20"/>
        <item t="data" sd="0" x="21"/>
        <item t="data" sd="0" x="22"/>
        <item t="data" sd="0" x="23"/>
        <item t="data" sd="0" x="24"/>
        <item t="data" sd="0" x="25"/>
        <item t="data" sd="0" x="26"/>
        <item t="data" sd="0" x="27"/>
        <item t="data" sd="0" x="28"/>
        <item t="data" sd="0" x="29"/>
        <item t="data" sd="0" x="30"/>
        <item t="data" sd="0" x="31"/>
        <item t="data" sd="0" x="32"/>
        <item t="data" sd="0" x="33"/>
        <item t="data" sd="0" x="34"/>
        <item t="data" sd="0" x="35"/>
        <item t="data" sd="0" x="36"/>
        <item t="data" sd="0" x="37"/>
        <item t="data" sd="0" x="38"/>
        <item t="data" sd="0" x="39"/>
        <item t="data" sd="0" x="40"/>
        <item t="data" sd="0" x="41"/>
        <item t="data" sd="0" x="42"/>
        <item t="data" sd="0" x="43"/>
        <item t="data" sd="0" x="44"/>
        <item t="data" sd="0" x="45"/>
        <item t="data" sd="0" x="46"/>
        <item t="data" sd="0" x="47"/>
        <item t="data" sd="0" x="48"/>
        <item t="data" sd="0" x="49"/>
        <item t="data" sd="0" x="50"/>
        <item t="data" sd="0" x="51"/>
        <item t="data" sd="0" x="52"/>
        <item t="data" sd="0" x="53"/>
        <item t="data" sd="0" x="54"/>
        <item t="data" sd="0" x="55"/>
        <item t="data" sd="0" x="56"/>
        <item t="data" sd="0" x="57"/>
        <item t="data" sd="0" x="58"/>
        <item t="data" sd="0" x="59"/>
        <item t="data" sd="0" x="60"/>
        <item t="data" sd="0" x="61"/>
        <item t="data" sd="0" x="62"/>
        <item t="data" sd="0" x="63"/>
        <item t="data" sd="0" x="64"/>
        <item t="data" sd="0" x="65"/>
        <item t="data" sd="0" x="66"/>
        <item t="data" sd="0" x="67"/>
        <item t="data" sd="0" x="68"/>
        <item t="data" sd="0" x="69"/>
        <item t="data" sd="0" x="70"/>
        <item t="data" sd="0" x="71"/>
        <item t="data" sd="0" x="72"/>
        <item t="data" sd="0" x="73"/>
        <item t="data" sd="0" x="74"/>
        <item t="data" sd="0" x="75"/>
        <item t="data" sd="0" x="76"/>
        <item t="data" sd="0" x="77"/>
        <item t="data" sd="0" x="78"/>
        <item t="data" sd="0" x="79"/>
        <item t="data" sd="0" x="80"/>
        <item t="data" sd="0" x="81"/>
        <item t="data" sd="0" x="82"/>
        <item t="data" sd="0" x="83"/>
        <item t="data" sd="0" x="84"/>
        <item t="data" sd="0" x="85"/>
        <item t="data" sd="0" x="86"/>
        <item t="data" sd="0" x="87"/>
        <item t="data" sd="0" x="88"/>
        <item t="data" sd="0" x="89"/>
        <item t="data" sd="0" x="90"/>
        <item t="data" sd="0" x="91"/>
        <item t="data" sd="0" x="92"/>
        <item t="data" sd="0" x="93"/>
        <item t="data" sd="0" x="94"/>
        <item t="data" sd="0" x="95"/>
        <item t="data" sd="0" x="96"/>
        <item t="data" sd="0" x="97"/>
        <item t="data" sd="0" x="98"/>
        <item t="data" sd="0" x="99"/>
        <item t="data" sd="0" x="100"/>
        <item t="data" sd="0" x="101"/>
        <item t="data" sd="0" x="102"/>
        <item t="data" sd="0" x="103"/>
        <item t="data" sd="0" x="104"/>
        <item t="data" sd="0" x="105"/>
        <item t="data" sd="0" x="106"/>
        <item t="data" sd="0" x="107"/>
        <item t="data" sd="0" x="108"/>
        <item t="data" sd="0" x="109"/>
        <item t="data" sd="0" x="110"/>
        <item t="data" sd="0" x="111"/>
        <item t="data" sd="0" x="112"/>
        <item t="data" sd="0" x="113"/>
        <item t="data" sd="0" x="114"/>
        <item t="data" sd="0" x="115"/>
        <item t="data" sd="0" x="116"/>
        <item t="data" sd="0" x="117"/>
        <item t="data" sd="0" x="118"/>
        <item t="data" sd="0" x="119"/>
        <item t="data" sd="0" x="120"/>
        <item t="data" sd="0" x="121"/>
        <item t="data" sd="0" x="122"/>
        <item t="data" sd="0" x="123"/>
        <item t="data" sd="0" x="124"/>
        <item t="data" sd="0" x="125"/>
        <item t="data" sd="0" x="126"/>
        <item t="data" sd="0" x="127"/>
        <item t="data" sd="0" x="128"/>
        <item t="data" sd="0" x="129"/>
        <item t="data" sd="0" x="130"/>
        <item t="data" sd="0" x="131"/>
        <item t="data" sd="0" x="132"/>
        <item t="data" sd="0" x="133"/>
        <item t="data" sd="0" x="134"/>
        <item t="data" sd="0" x="135"/>
        <item t="data" sd="0" x="136"/>
        <item t="data" sd="0" x="137"/>
        <item t="data" sd="0" x="138"/>
        <item t="data" sd="0" x="139"/>
        <item t="data" sd="0" x="140"/>
        <item t="data" sd="0" x="141"/>
        <item t="data" sd="0" x="142"/>
        <item t="data" sd="0" x="143"/>
        <item t="data" sd="0" x="144"/>
        <item t="data" sd="0" x="145"/>
        <item t="data" sd="0" x="146"/>
        <item t="data" sd="0" x="147"/>
        <item t="data" sd="0" x="148"/>
        <item t="data" sd="0" x="149"/>
        <item t="data" sd="0" x="150"/>
        <item t="data" sd="0" x="151"/>
        <item t="data" sd="0" x="152"/>
        <item t="data" sd="0" x="153"/>
        <item t="data" sd="0" x="154"/>
        <item t="data" sd="0" x="155"/>
        <item t="data" sd="0" x="156"/>
        <item t="data" sd="0" x="157"/>
        <item t="data" sd="0" x="158"/>
        <item t="data" sd="0" x="159"/>
        <item t="data" sd="0" x="160"/>
        <item t="data" sd="0" x="161"/>
        <item t="data" sd="0" x="162"/>
        <item t="data" sd="0" x="163"/>
        <item t="data" sd="0" x="164"/>
        <item t="data" sd="0" x="165"/>
        <item t="data" sd="0" x="166"/>
        <item t="data" sd="0" x="167"/>
        <item t="data" sd="0" x="168"/>
        <item t="data" sd="0" x="169"/>
        <item t="data" sd="0" x="170"/>
        <item t="data" sd="0" x="171"/>
        <item t="data" sd="0" x="172"/>
        <item t="data" sd="0" x="173"/>
        <item t="data" sd="0" x="174"/>
        <item t="data" sd="0" x="175"/>
        <item t="data" sd="0" x="176"/>
        <item t="data" sd="0" x="177"/>
        <item t="data" sd="0" x="178"/>
        <item t="data" sd="0" x="179"/>
        <item t="data" sd="0" x="180"/>
        <item t="data" sd="0" x="181"/>
        <item t="data" sd="0" x="182"/>
        <item t="data" sd="0" x="183"/>
        <item t="data" sd="0" x="184"/>
        <item t="data" sd="0" x="185"/>
        <item t="data" sd="0" x="186"/>
        <item t="data" sd="0" x="187"/>
        <item t="data" sd="0" x="188"/>
        <item t="data" sd="0" x="189"/>
        <item t="data" sd="0" x="190"/>
        <item t="data" sd="0" x="191"/>
        <item t="data" sd="0" x="192"/>
        <item t="data" sd="0" x="193"/>
        <item t="data" sd="0" x="194"/>
        <item t="data" sd="0" x="195"/>
        <item t="data" sd="0" x="196"/>
        <item t="data" sd="0" x="197"/>
        <item t="data" sd="0" x="198"/>
        <item t="data" sd="0" x="199"/>
        <item t="data" sd="0" x="200"/>
        <item t="data" sd="0" x="201"/>
        <item t="data" sd="0" x="202"/>
        <item t="data" sd="0" x="203"/>
        <item t="data" sd="0" x="204"/>
        <item t="data" sd="0" x="205"/>
        <item t="data" sd="0" x="206"/>
        <item t="data" sd="0" x="207"/>
        <item t="data" sd="0" x="208"/>
        <item t="data" sd="0" x="209"/>
        <item t="data" sd="0" x="210"/>
        <item t="data" sd="0" x="211"/>
        <item t="data" sd="0" x="212"/>
        <item t="data" sd="0" x="213"/>
        <item t="data" sd="0" x="214"/>
        <item t="data" sd="0" x="215"/>
        <item t="data" sd="0" x="216"/>
        <item t="data" sd="0" x="217"/>
        <item t="data" sd="0" x="218"/>
        <item t="data" sd="0" x="219"/>
        <item t="data" sd="0" x="220"/>
        <item t="data" sd="0" x="221"/>
        <item t="data" sd="0" x="222"/>
        <item t="data" sd="0" x="223"/>
        <item t="data" sd="0" x="224"/>
        <item t="data" sd="0" x="225"/>
        <item t="data" sd="0" x="226"/>
        <item t="data" sd="0" x="227"/>
        <item t="data" sd="0" x="228"/>
        <item t="data" sd="0" x="229"/>
        <item t="data" sd="0" x="230"/>
        <item t="data" sd="0" x="231"/>
        <item t="data" sd="0" x="232"/>
        <item t="data" sd="0" x="233"/>
        <item t="data" sd="0" x="234"/>
        <item t="data" sd="0" x="235"/>
        <item t="data" sd="0" x="236"/>
        <item t="data" sd="0" x="237"/>
        <item t="data" sd="0" x="238"/>
        <item t="data" sd="0" x="239"/>
        <item t="data" sd="0" x="240"/>
        <item t="data" sd="0" x="241"/>
        <item t="data" sd="0" x="242"/>
        <item t="data" sd="0" x="243"/>
        <item t="data" sd="0" x="244"/>
        <item t="data" sd="0" x="245"/>
        <item t="data" sd="0" x="246"/>
        <item t="data" sd="0" x="247"/>
        <item t="data" sd="0" x="248"/>
        <item t="data" sd="0" x="249"/>
        <item t="data" sd="0" x="250"/>
        <item t="data" sd="0" x="251"/>
        <item t="data" sd="0" x="252"/>
        <item t="data" sd="0" x="253"/>
        <item t="data" sd="0" x="254"/>
        <item t="data" sd="0" x="255"/>
        <item t="data" sd="0" x="256"/>
        <item t="data" sd="0" x="257"/>
        <item t="data" sd="0" x="258"/>
        <item t="data" sd="0" x="259"/>
        <item t="data" sd="0" x="260"/>
        <item t="data" sd="0" x="261"/>
        <item t="data" sd="0" x="262"/>
        <item t="data" sd="0" x="263"/>
        <item t="data" sd="0" x="264"/>
        <item t="data" sd="0" x="265"/>
        <item t="data" sd="0" x="266"/>
        <item t="data" sd="0" x="267"/>
        <item t="data" sd="0" x="268"/>
        <item t="data" sd="0" x="269"/>
        <item t="data" sd="0" x="270"/>
        <item t="data" sd="0" x="271"/>
        <item t="data" sd="0" x="272"/>
        <item t="data" sd="0" x="273"/>
        <item t="data" sd="0" x="274"/>
        <item t="data" sd="0" x="275"/>
        <item t="data" sd="0" x="276"/>
        <item t="data" sd="0" x="277"/>
        <item t="data" sd="0" x="278"/>
        <item t="data" sd="0" x="279"/>
        <item t="data" sd="0" x="280"/>
        <item t="data" sd="0" x="281"/>
        <item t="data" sd="0" x="282"/>
        <item t="data" sd="0" x="283"/>
        <item t="data" sd="0" x="284"/>
        <item t="data" sd="0" x="285"/>
        <item t="data" sd="0" x="286"/>
        <item t="data" sd="0" x="287"/>
        <item t="data" sd="0" x="288"/>
        <item t="data" sd="0" x="289"/>
        <item t="data" sd="0" x="290"/>
        <item t="data" sd="0" x="291"/>
        <item t="data" sd="0" x="292"/>
        <item t="data" sd="0" x="293"/>
        <item t="data" sd="0" x="294"/>
        <item t="data" sd="0" x="295"/>
        <item t="data" sd="0" x="296"/>
        <item t="data" sd="0" x="297"/>
        <item t="data" sd="0" x="298"/>
        <item t="data" sd="0" x="299"/>
        <item t="data" sd="0" x="300"/>
        <item t="data" sd="0" x="301"/>
        <item t="data" sd="0" x="302"/>
        <item t="data" sd="0" x="303"/>
        <item t="data" sd="0" x="304"/>
        <item t="data" sd="0" x="305"/>
        <item t="data" sd="0" x="306"/>
        <item t="data" sd="0" x="307"/>
        <item t="data" sd="0" x="308"/>
        <item t="data" sd="0" x="309"/>
        <item t="data" sd="0" x="310"/>
        <item t="data" sd="0" x="311"/>
        <item t="data" sd="0" x="312"/>
        <item t="data" sd="0" x="313"/>
        <item t="data" sd="0" x="314"/>
        <item t="data" sd="0" x="315"/>
        <item t="data" sd="0" x="316"/>
        <item t="data" sd="0" x="317"/>
        <item t="data" sd="0" x="318"/>
        <item t="data" sd="0" x="319"/>
        <item t="data" sd="0" x="320"/>
        <item t="data" sd="0" x="321"/>
        <item t="data" sd="0" x="322"/>
        <item t="data" sd="0" x="323"/>
        <item t="data" sd="0" x="324"/>
        <item t="data" sd="0" x="325"/>
        <item t="data" sd="0" x="326"/>
        <item t="data" sd="0" x="327"/>
        <item t="data" sd="0" x="328"/>
        <item t="data" sd="0" x="329"/>
        <item t="data" sd="0" x="330"/>
        <item t="data" sd="0" x="331"/>
        <item t="data" sd="0" x="332"/>
        <item t="data" sd="0" x="333"/>
        <item t="data" sd="0" x="334"/>
        <item t="data" sd="0" x="335"/>
        <item t="data" sd="0" x="336"/>
        <item t="data" sd="0" x="337"/>
        <item t="data" sd="0" x="338"/>
        <item t="data" sd="0" x="339"/>
        <item t="data" sd="0" x="340"/>
        <item t="data" sd="0" x="341"/>
        <item t="data" sd="0" x="342"/>
        <item t="data" sd="0" x="343"/>
        <item t="data" sd="0" x="344"/>
        <item t="data" sd="0" x="345"/>
        <item t="data" sd="0" x="346"/>
        <item t="data" sd="0" x="347"/>
        <item t="data" sd="0" x="348"/>
        <item t="data" sd="0" x="349"/>
        <item t="data" sd="0" x="350"/>
        <item t="data" sd="0" x="351"/>
        <item t="data" sd="0" x="352"/>
        <item t="data" sd="0" x="353"/>
        <item t="data" sd="0" x="354"/>
        <item t="data" sd="0" x="355"/>
        <item t="data" sd="0" x="356"/>
        <item t="data" sd="0" x="357"/>
        <item t="data" sd="0" x="358"/>
        <item t="data" sd="0" x="359"/>
        <item t="data" sd="0" x="360"/>
        <item t="data" sd="0" x="361"/>
        <item t="data" sd="0" x="362"/>
        <item t="data" sd="0" x="363"/>
        <item t="data" sd="0" x="364"/>
        <item t="data" sd="0" x="365"/>
        <item t="data" sd="0" x="366"/>
        <item t="data" sd="1" x="367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5">
        <item t="data" sd="0" x="0"/>
        <item t="data" sd="0" x="1"/>
        <item t="data" sd="0" x="2"/>
        <item t="data" sd="0" x="3"/>
        <item t="data" sd="0" x="4"/>
        <item t="data" sd="0" x="5"/>
        <item t="data" sd="0" x="6"/>
        <item t="data" sd="0" x="7"/>
        <item t="data" sd="0" x="8"/>
        <item t="data" sd="0" x="9"/>
        <item t="data" sd="0" x="10"/>
        <item t="data" sd="0" x="11"/>
        <item t="data" sd="0" x="12"/>
        <item t="data" sd="0" x="13"/>
        <item t="default" sd="1"/>
      </items>
    </pivotField>
  </pivotFields>
  <rowFields count="1">
    <field x="13"/>
  </rowFields>
  <rowItems count="206">
    <i t="data" r="0" i="0">
      <x v="27"/>
    </i>
    <i t="data" r="0" i="0">
      <x v="33"/>
    </i>
    <i t="data" r="0" i="0">
      <x v="64"/>
    </i>
    <i t="data" r="0" i="0">
      <x v="94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data" r="0" i="0">
      <x v="290"/>
    </i>
    <i t="data" r="0" i="0">
      <x v="291"/>
    </i>
    <i t="data" r="0" i="0">
      <x v="292"/>
    </i>
    <i t="data" r="0" i="0">
      <x v="293"/>
    </i>
    <i t="data" r="0" i="0">
      <x v="294"/>
    </i>
    <i t="data" r="0" i="0">
      <x v="295"/>
    </i>
    <i t="data" r="0" i="0">
      <x v="296"/>
    </i>
    <i t="data" r="0" i="0">
      <x v="297"/>
    </i>
    <i t="data" r="0" i="0">
      <x v="298"/>
    </i>
    <i t="data" r="0" i="0">
      <x v="299"/>
    </i>
    <i t="data" r="0" i="0">
      <x v="300"/>
    </i>
    <i t="data" r="0" i="0">
      <x v="301"/>
    </i>
    <i t="data" r="0" i="0">
      <x v="302"/>
    </i>
    <i t="data" r="0" i="0">
      <x v="303"/>
    </i>
    <i t="data" r="0" i="0">
      <x v="304"/>
    </i>
  </rowItems>
  <colFields count="1">
    <field x="7"/>
  </colFields>
  <colItems count="6">
    <i t="data" r="0" i="0">
      <x v="0"/>
    </i>
    <i t="data" r="0" i="0">
      <x v="1"/>
    </i>
    <i t="data" r="0" i="0">
      <x v="2"/>
    </i>
    <i t="data" r="0" i="0">
      <x v="3"/>
    </i>
    <i t="data" r="0" i="0">
      <x v="8"/>
    </i>
    <i t="data" r="0" i="0">
      <x v="11"/>
    </i>
  </colItems>
  <dataFields count="1">
    <dataField name="Suma de AMORTIZACION" fld="15" subtotal="sum" showDataAs="normal" baseField="0" baseItem="0" numFmtId="41"/>
  </dataFields>
  <formats count="1">
    <format action="formatting" dxfId="0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D833"/>
  <sheetViews>
    <sheetView workbookViewId="0">
      <selection activeCell="P1" sqref="P1:P1048576"/>
    </sheetView>
  </sheetViews>
  <sheetFormatPr baseColWidth="10" defaultRowHeight="14.5"/>
  <cols>
    <col width="16.6328125" bestFit="1" customWidth="1" style="1" min="1" max="1"/>
    <col width="16.1796875" bestFit="1" customWidth="1" min="10" max="10"/>
    <col width="10.90625" customWidth="1" style="1" min="13" max="15"/>
    <col width="16.81640625" bestFit="1" customWidth="1" style="51" min="16" max="16"/>
  </cols>
  <sheetData>
    <row r="1">
      <c r="A1" t="inlineStr">
        <is>
          <t>FECHA_PROCESO</t>
        </is>
      </c>
      <c r="B1" t="inlineStr">
        <is>
          <t>CODIGO_EMPRESA</t>
        </is>
      </c>
      <c r="C1" t="inlineStr">
        <is>
          <t>OPERACION</t>
        </is>
      </c>
      <c r="D1" t="inlineStr">
        <is>
          <t>COD_ACT/PAS</t>
        </is>
      </c>
      <c r="E1" t="inlineStr">
        <is>
          <t>MONEDA_ORIGEN</t>
        </is>
      </c>
      <c r="F1" t="inlineStr">
        <is>
          <t>MONEDA_COMPENSACION</t>
        </is>
      </c>
      <c r="G1" t="inlineStr">
        <is>
          <t>COMPENSACION</t>
        </is>
      </c>
      <c r="H1" t="inlineStr">
        <is>
          <t>CODIGO_PRODUCTO</t>
        </is>
      </c>
      <c r="I1" t="inlineStr">
        <is>
          <t>CODIGO_SUBPRODUCTO</t>
        </is>
      </c>
      <c r="J1" t="inlineStr">
        <is>
          <t>FECHA_CREACION</t>
        </is>
      </c>
      <c r="K1" t="inlineStr">
        <is>
          <t>NUMERO_CUOTA</t>
        </is>
      </c>
      <c r="L1" t="inlineStr">
        <is>
          <t>FECHA_INICIO_CUOTA</t>
        </is>
      </c>
      <c r="M1" t="inlineStr">
        <is>
          <t>FECHA_VENCIMIENTO_CUOTA</t>
        </is>
      </c>
      <c r="N1" t="inlineStr">
        <is>
          <t>FECHA_PAGO</t>
        </is>
      </c>
      <c r="O1" t="inlineStr">
        <is>
          <t>FECHA_REPRICING</t>
        </is>
      </c>
      <c r="P1" t="inlineStr">
        <is>
          <t>AMORTIZACION</t>
        </is>
      </c>
      <c r="Q1" t="inlineStr">
        <is>
          <t>INTERES</t>
        </is>
      </c>
      <c r="R1" t="inlineStr">
        <is>
          <t>INTERES_DEVENGADO</t>
        </is>
      </c>
      <c r="S1" t="inlineStr">
        <is>
          <t>VP_AMORTIZACION</t>
        </is>
      </c>
      <c r="T1" t="inlineStr">
        <is>
          <t>VP_INTERES</t>
        </is>
      </c>
      <c r="U1" t="inlineStr">
        <is>
          <t>FACTOR_DE_RIESGO</t>
        </is>
      </c>
      <c r="V1" t="inlineStr">
        <is>
          <t>TIPO_CUOTA</t>
        </is>
      </c>
      <c r="W1" t="inlineStr">
        <is>
          <t>AREA_NEGOCIO</t>
        </is>
      </c>
      <c r="X1" t="inlineStr">
        <is>
          <t>CODIGO_EJECUTIVO</t>
        </is>
      </c>
      <c r="Y1" t="inlineStr">
        <is>
          <t>CODIGO_ESTRATEGIA</t>
        </is>
      </c>
      <c r="Z1" t="inlineStr">
        <is>
          <t>CLASIFICACION_CONTABLE</t>
        </is>
      </c>
      <c r="AA1" t="inlineStr">
        <is>
          <t>TIPO_TASA</t>
        </is>
      </c>
      <c r="AB1" t="inlineStr">
        <is>
          <t>INDEXADOR</t>
        </is>
      </c>
      <c r="AC1" t="inlineStr">
        <is>
          <t>TASA_CF</t>
        </is>
      </c>
      <c r="AD1" t="inlineStr">
        <is>
          <t>SPREAD</t>
        </is>
      </c>
    </row>
    <row r="2">
      <c r="A2" s="71" t="n">
        <v>45923</v>
      </c>
      <c r="B2" t="n">
        <v>1</v>
      </c>
      <c r="D2" t="inlineStr">
        <is>
          <t>PAS</t>
        </is>
      </c>
      <c r="E2" t="inlineStr">
        <is>
          <t>CLP</t>
        </is>
      </c>
      <c r="F2" t="inlineStr">
        <is>
          <t>CLP</t>
        </is>
      </c>
      <c r="H2" t="inlineStr">
        <is>
          <t>MT_R13_CTA. CORRIENTE</t>
        </is>
      </c>
      <c r="I2" t="inlineStr">
        <is>
          <t>MT_R13_CTA. CORRIENTE PERSONAS_CORE</t>
        </is>
      </c>
      <c r="K2" t="n">
        <v>1</v>
      </c>
      <c r="M2" s="71" t="n">
        <v>45930</v>
      </c>
      <c r="N2" s="71" t="n">
        <v>45930</v>
      </c>
      <c r="O2" s="71" t="n">
        <v>45930</v>
      </c>
      <c r="P2" t="n">
        <v>8985692188.549843</v>
      </c>
      <c r="V2" t="n">
        <v>1</v>
      </c>
      <c r="W2" t="inlineStr">
        <is>
          <t>BALANCE TASAS</t>
        </is>
      </c>
      <c r="Y2" t="inlineStr">
        <is>
          <t>BALANCE TASAS</t>
        </is>
      </c>
      <c r="Z2" t="inlineStr">
        <is>
          <t>HTM</t>
        </is>
      </c>
      <c r="AA2" t="n">
        <v>1</v>
      </c>
    </row>
    <row r="3">
      <c r="A3" s="71" t="n">
        <v>45923</v>
      </c>
      <c r="B3" t="n">
        <v>1</v>
      </c>
      <c r="D3" t="inlineStr">
        <is>
          <t>PAS</t>
        </is>
      </c>
      <c r="E3" t="inlineStr">
        <is>
          <t>CLP</t>
        </is>
      </c>
      <c r="F3" t="inlineStr">
        <is>
          <t>CLP</t>
        </is>
      </c>
      <c r="H3" t="inlineStr">
        <is>
          <t>MT_R13_CTA. CORRIENTE</t>
        </is>
      </c>
      <c r="I3" t="inlineStr">
        <is>
          <t>MT_R13_CTA. CORRIENTE PERSONAS_CORE</t>
        </is>
      </c>
      <c r="K3" t="n">
        <v>2</v>
      </c>
      <c r="M3" s="71" t="n">
        <v>45961</v>
      </c>
      <c r="N3" s="71" t="n">
        <v>45961</v>
      </c>
      <c r="O3" s="71" t="n">
        <v>45961</v>
      </c>
      <c r="P3" t="n">
        <v>8899121239.255829</v>
      </c>
      <c r="V3" t="n">
        <v>1</v>
      </c>
      <c r="W3" t="inlineStr">
        <is>
          <t>BALANCE TASAS</t>
        </is>
      </c>
      <c r="Y3" t="inlineStr">
        <is>
          <t>BALANCE TASAS</t>
        </is>
      </c>
      <c r="Z3" t="inlineStr">
        <is>
          <t>HTM</t>
        </is>
      </c>
      <c r="AA3" t="n">
        <v>1</v>
      </c>
    </row>
    <row r="4">
      <c r="A4" s="71" t="n">
        <v>45923</v>
      </c>
      <c r="B4" t="n">
        <v>1</v>
      </c>
      <c r="D4" t="inlineStr">
        <is>
          <t>PAS</t>
        </is>
      </c>
      <c r="E4" t="inlineStr">
        <is>
          <t>CLP</t>
        </is>
      </c>
      <c r="F4" t="inlineStr">
        <is>
          <t>CLP</t>
        </is>
      </c>
      <c r="H4" t="inlineStr">
        <is>
          <t>MT_R13_CTA. CORRIENTE</t>
        </is>
      </c>
      <c r="I4" t="inlineStr">
        <is>
          <t>MT_R13_CTA. CORRIENTE PERSONAS_CORE</t>
        </is>
      </c>
      <c r="K4" t="n">
        <v>3</v>
      </c>
      <c r="M4" s="71" t="n">
        <v>45991</v>
      </c>
      <c r="N4" s="71" t="n">
        <v>45991</v>
      </c>
      <c r="O4" s="71" t="n">
        <v>45991</v>
      </c>
      <c r="P4" t="n">
        <v>8813481160.384329</v>
      </c>
      <c r="V4" t="n">
        <v>1</v>
      </c>
      <c r="W4" t="inlineStr">
        <is>
          <t>BALANCE TASAS</t>
        </is>
      </c>
      <c r="Y4" t="inlineStr">
        <is>
          <t>BALANCE TASAS</t>
        </is>
      </c>
      <c r="Z4" t="inlineStr">
        <is>
          <t>HTM</t>
        </is>
      </c>
      <c r="AA4" t="n">
        <v>1</v>
      </c>
    </row>
    <row r="5">
      <c r="A5" s="71" t="n">
        <v>45923</v>
      </c>
      <c r="B5" t="n">
        <v>1</v>
      </c>
      <c r="D5" t="inlineStr">
        <is>
          <t>PAS</t>
        </is>
      </c>
      <c r="E5" t="inlineStr">
        <is>
          <t>CLP</t>
        </is>
      </c>
      <c r="F5" t="inlineStr">
        <is>
          <t>CLP</t>
        </is>
      </c>
      <c r="H5" t="inlineStr">
        <is>
          <t>MT_R13_CTA. CORRIENTE</t>
        </is>
      </c>
      <c r="I5" t="inlineStr">
        <is>
          <t>MT_R13_CTA. CORRIENTE PERSONAS_CORE</t>
        </is>
      </c>
      <c r="K5" t="n">
        <v>4</v>
      </c>
      <c r="M5" s="71" t="n">
        <v>46022</v>
      </c>
      <c r="N5" s="71" t="n">
        <v>46022</v>
      </c>
      <c r="O5" s="71" t="n">
        <v>46022</v>
      </c>
      <c r="P5" t="n">
        <v>8727841081.512829</v>
      </c>
      <c r="V5" t="n">
        <v>1</v>
      </c>
      <c r="W5" t="inlineStr">
        <is>
          <t>BALANCE TASAS</t>
        </is>
      </c>
      <c r="Y5" t="inlineStr">
        <is>
          <t>BALANCE TASAS</t>
        </is>
      </c>
      <c r="Z5" t="inlineStr">
        <is>
          <t>HTM</t>
        </is>
      </c>
      <c r="AA5" t="n">
        <v>1</v>
      </c>
    </row>
    <row r="6">
      <c r="A6" s="71" t="n">
        <v>45923</v>
      </c>
      <c r="B6" t="n">
        <v>1</v>
      </c>
      <c r="D6" t="inlineStr">
        <is>
          <t>PAS</t>
        </is>
      </c>
      <c r="E6" t="inlineStr">
        <is>
          <t>CLP</t>
        </is>
      </c>
      <c r="F6" t="inlineStr">
        <is>
          <t>CLP</t>
        </is>
      </c>
      <c r="H6" t="inlineStr">
        <is>
          <t>MT_R13_CTA. CORRIENTE</t>
        </is>
      </c>
      <c r="I6" t="inlineStr">
        <is>
          <t>MT_R13_CTA. CORRIENTE PERSONAS_CORE</t>
        </is>
      </c>
      <c r="K6" t="n">
        <v>5</v>
      </c>
      <c r="M6" s="71" t="n">
        <v>46053</v>
      </c>
      <c r="N6" s="71" t="n">
        <v>46053</v>
      </c>
      <c r="O6" s="71" t="n">
        <v>46053</v>
      </c>
      <c r="P6" t="n">
        <v>8644062743.486362</v>
      </c>
      <c r="V6" t="n">
        <v>1</v>
      </c>
      <c r="W6" t="inlineStr">
        <is>
          <t>BALANCE TASAS</t>
        </is>
      </c>
      <c r="Y6" t="inlineStr">
        <is>
          <t>BALANCE TASAS</t>
        </is>
      </c>
      <c r="Z6" t="inlineStr">
        <is>
          <t>HTM</t>
        </is>
      </c>
      <c r="AA6" t="n">
        <v>1</v>
      </c>
    </row>
    <row r="7">
      <c r="A7" s="71" t="n">
        <v>45923</v>
      </c>
      <c r="B7" t="n">
        <v>1</v>
      </c>
      <c r="D7" t="inlineStr">
        <is>
          <t>PAS</t>
        </is>
      </c>
      <c r="E7" t="inlineStr">
        <is>
          <t>CLP</t>
        </is>
      </c>
      <c r="F7" t="inlineStr">
        <is>
          <t>CLP</t>
        </is>
      </c>
      <c r="H7" t="inlineStr">
        <is>
          <t>MT_R13_CTA. CORRIENTE</t>
        </is>
      </c>
      <c r="I7" t="inlineStr">
        <is>
          <t>MT_R13_CTA. CORRIENTE PERSONAS_CORE</t>
        </is>
      </c>
      <c r="K7" t="n">
        <v>6</v>
      </c>
      <c r="M7" s="71" t="n">
        <v>46081</v>
      </c>
      <c r="N7" s="71" t="n">
        <v>46081</v>
      </c>
      <c r="O7" s="71" t="n">
        <v>46081</v>
      </c>
      <c r="P7" t="n">
        <v>8560284405.459893</v>
      </c>
      <c r="V7" t="n">
        <v>1</v>
      </c>
      <c r="W7" t="inlineStr">
        <is>
          <t>BALANCE TASAS</t>
        </is>
      </c>
      <c r="Y7" t="inlineStr">
        <is>
          <t>BALANCE TASAS</t>
        </is>
      </c>
      <c r="Z7" t="inlineStr">
        <is>
          <t>HTM</t>
        </is>
      </c>
      <c r="AA7" t="n">
        <v>1</v>
      </c>
    </row>
    <row r="8">
      <c r="A8" s="71" t="n">
        <v>45923</v>
      </c>
      <c r="B8" t="n">
        <v>1</v>
      </c>
      <c r="D8" t="inlineStr">
        <is>
          <t>PAS</t>
        </is>
      </c>
      <c r="E8" t="inlineStr">
        <is>
          <t>CLP</t>
        </is>
      </c>
      <c r="F8" t="inlineStr">
        <is>
          <t>CLP</t>
        </is>
      </c>
      <c r="H8" t="inlineStr">
        <is>
          <t>MT_R13_CTA. CORRIENTE</t>
        </is>
      </c>
      <c r="I8" t="inlineStr">
        <is>
          <t>MT_R13_CTA. CORRIENTE PERSONAS_CORE</t>
        </is>
      </c>
      <c r="K8" t="n">
        <v>7</v>
      </c>
      <c r="M8" s="71" t="n">
        <v>46112</v>
      </c>
      <c r="N8" s="71" t="n">
        <v>46112</v>
      </c>
      <c r="O8" s="71" t="n">
        <v>46112</v>
      </c>
      <c r="P8" t="n">
        <v>8477436937.855944</v>
      </c>
      <c r="V8" t="n">
        <v>1</v>
      </c>
      <c r="W8" t="inlineStr">
        <is>
          <t>BALANCE TASAS</t>
        </is>
      </c>
      <c r="Y8" t="inlineStr">
        <is>
          <t>BALANCE TASAS</t>
        </is>
      </c>
      <c r="Z8" t="inlineStr">
        <is>
          <t>HTM</t>
        </is>
      </c>
      <c r="AA8" t="n">
        <v>1</v>
      </c>
    </row>
    <row r="9">
      <c r="A9" s="71" t="n">
        <v>45923</v>
      </c>
      <c r="B9" t="n">
        <v>1</v>
      </c>
      <c r="D9" t="inlineStr">
        <is>
          <t>PAS</t>
        </is>
      </c>
      <c r="E9" t="inlineStr">
        <is>
          <t>CLP</t>
        </is>
      </c>
      <c r="F9" t="inlineStr">
        <is>
          <t>CLP</t>
        </is>
      </c>
      <c r="H9" t="inlineStr">
        <is>
          <t>MT_R13_CTA. CORRIENTE</t>
        </is>
      </c>
      <c r="I9" t="inlineStr">
        <is>
          <t>MT_R13_CTA. CORRIENTE PERSONAS_CORE</t>
        </is>
      </c>
      <c r="K9" t="n">
        <v>8</v>
      </c>
      <c r="M9" s="71" t="n">
        <v>46142</v>
      </c>
      <c r="N9" s="71" t="n">
        <v>46142</v>
      </c>
      <c r="O9" s="71" t="n">
        <v>46142</v>
      </c>
      <c r="P9" t="n">
        <v>8395520340.674508</v>
      </c>
      <c r="V9" t="n">
        <v>1</v>
      </c>
      <c r="W9" t="inlineStr">
        <is>
          <t>BALANCE TASAS</t>
        </is>
      </c>
      <c r="Y9" t="inlineStr">
        <is>
          <t>BALANCE TASAS</t>
        </is>
      </c>
      <c r="Z9" t="inlineStr">
        <is>
          <t>HTM</t>
        </is>
      </c>
      <c r="AA9" t="n">
        <v>1</v>
      </c>
    </row>
    <row r="10">
      <c r="A10" s="71" t="n">
        <v>45923</v>
      </c>
      <c r="B10" t="n">
        <v>1</v>
      </c>
      <c r="D10" t="inlineStr">
        <is>
          <t>PAS</t>
        </is>
      </c>
      <c r="E10" t="inlineStr">
        <is>
          <t>CLP</t>
        </is>
      </c>
      <c r="F10" t="inlineStr">
        <is>
          <t>CLP</t>
        </is>
      </c>
      <c r="H10" t="inlineStr">
        <is>
          <t>MT_R13_CTA. CORRIENTE</t>
        </is>
      </c>
      <c r="I10" t="inlineStr">
        <is>
          <t>MT_R13_CTA. CORRIENTE PERSONAS_CORE</t>
        </is>
      </c>
      <c r="K10" t="n">
        <v>9</v>
      </c>
      <c r="M10" s="71" t="n">
        <v>46173</v>
      </c>
      <c r="N10" s="71" t="n">
        <v>46173</v>
      </c>
      <c r="O10" s="71" t="n">
        <v>46173</v>
      </c>
      <c r="P10" t="n">
        <v>8314534613.915591</v>
      </c>
      <c r="V10" t="n">
        <v>1</v>
      </c>
      <c r="W10" t="inlineStr">
        <is>
          <t>BALANCE TASAS</t>
        </is>
      </c>
      <c r="Y10" t="inlineStr">
        <is>
          <t>BALANCE TASAS</t>
        </is>
      </c>
      <c r="Z10" t="inlineStr">
        <is>
          <t>HTM</t>
        </is>
      </c>
      <c r="AA10" t="n">
        <v>1</v>
      </c>
    </row>
    <row r="11">
      <c r="A11" s="71" t="n">
        <v>45923</v>
      </c>
      <c r="B11" t="n">
        <v>1</v>
      </c>
      <c r="D11" t="inlineStr">
        <is>
          <t>PAS</t>
        </is>
      </c>
      <c r="E11" t="inlineStr">
        <is>
          <t>CLP</t>
        </is>
      </c>
      <c r="F11" t="inlineStr">
        <is>
          <t>CLP</t>
        </is>
      </c>
      <c r="H11" t="inlineStr">
        <is>
          <t>MT_R13_CTA. CORRIENTE</t>
        </is>
      </c>
      <c r="I11" t="inlineStr">
        <is>
          <t>MT_R13_CTA. CORRIENTE PERSONAS_CORE</t>
        </is>
      </c>
      <c r="K11" t="n">
        <v>10</v>
      </c>
      <c r="M11" s="71" t="n">
        <v>46203</v>
      </c>
      <c r="N11" s="71" t="n">
        <v>46203</v>
      </c>
      <c r="O11" s="71" t="n">
        <v>46203</v>
      </c>
      <c r="P11" t="n">
        <v>8234479757.579189</v>
      </c>
      <c r="V11" t="n">
        <v>1</v>
      </c>
      <c r="W11" t="inlineStr">
        <is>
          <t>BALANCE TASAS</t>
        </is>
      </c>
      <c r="Y11" t="inlineStr">
        <is>
          <t>BALANCE TASAS</t>
        </is>
      </c>
      <c r="Z11" t="inlineStr">
        <is>
          <t>HTM</t>
        </is>
      </c>
      <c r="AA11" t="n">
        <v>1</v>
      </c>
    </row>
    <row r="12">
      <c r="A12" s="71" t="n">
        <v>45923</v>
      </c>
      <c r="B12" t="n">
        <v>1</v>
      </c>
      <c r="D12" t="inlineStr">
        <is>
          <t>PAS</t>
        </is>
      </c>
      <c r="E12" t="inlineStr">
        <is>
          <t>CLP</t>
        </is>
      </c>
      <c r="F12" t="inlineStr">
        <is>
          <t>CLP</t>
        </is>
      </c>
      <c r="H12" t="inlineStr">
        <is>
          <t>MT_R13_CTA. CORRIENTE</t>
        </is>
      </c>
      <c r="I12" t="inlineStr">
        <is>
          <t>MT_R13_CTA. CORRIENTE PERSONAS_CORE</t>
        </is>
      </c>
      <c r="K12" t="n">
        <v>11</v>
      </c>
      <c r="M12" s="71" t="n">
        <v>46234</v>
      </c>
      <c r="N12" s="71" t="n">
        <v>46234</v>
      </c>
      <c r="O12" s="71" t="n">
        <v>46234</v>
      </c>
      <c r="P12" t="n">
        <v>8155355771.665303</v>
      </c>
      <c r="V12" t="n">
        <v>1</v>
      </c>
      <c r="W12" t="inlineStr">
        <is>
          <t>BALANCE TASAS</t>
        </is>
      </c>
      <c r="Y12" t="inlineStr">
        <is>
          <t>BALANCE TASAS</t>
        </is>
      </c>
      <c r="Z12" t="inlineStr">
        <is>
          <t>HTM</t>
        </is>
      </c>
      <c r="AA12" t="n">
        <v>1</v>
      </c>
    </row>
    <row r="13">
      <c r="A13" s="71" t="n">
        <v>45923</v>
      </c>
      <c r="B13" t="n">
        <v>1</v>
      </c>
      <c r="D13" t="inlineStr">
        <is>
          <t>PAS</t>
        </is>
      </c>
      <c r="E13" t="inlineStr">
        <is>
          <t>CLP</t>
        </is>
      </c>
      <c r="F13" t="inlineStr">
        <is>
          <t>CLP</t>
        </is>
      </c>
      <c r="H13" t="inlineStr">
        <is>
          <t>MT_R13_CTA. CORRIENTE</t>
        </is>
      </c>
      <c r="I13" t="inlineStr">
        <is>
          <t>MT_R13_CTA. CORRIENTE PERSONAS_CORE</t>
        </is>
      </c>
      <c r="K13" t="n">
        <v>12</v>
      </c>
      <c r="M13" s="71" t="n">
        <v>46265</v>
      </c>
      <c r="N13" s="71" t="n">
        <v>46265</v>
      </c>
      <c r="O13" s="71" t="n">
        <v>46265</v>
      </c>
      <c r="P13" t="n">
        <v>8076231785.751418</v>
      </c>
      <c r="V13" t="n">
        <v>1</v>
      </c>
      <c r="W13" t="inlineStr">
        <is>
          <t>BALANCE TASAS</t>
        </is>
      </c>
      <c r="Y13" t="inlineStr">
        <is>
          <t>BALANCE TASAS</t>
        </is>
      </c>
      <c r="Z13" t="inlineStr">
        <is>
          <t>HTM</t>
        </is>
      </c>
      <c r="AA13" t="n">
        <v>1</v>
      </c>
    </row>
    <row r="14">
      <c r="A14" s="71" t="n">
        <v>45923</v>
      </c>
      <c r="B14" t="n">
        <v>1</v>
      </c>
      <c r="D14" t="inlineStr">
        <is>
          <t>PAS</t>
        </is>
      </c>
      <c r="E14" t="inlineStr">
        <is>
          <t>CLP</t>
        </is>
      </c>
      <c r="F14" t="inlineStr">
        <is>
          <t>CLP</t>
        </is>
      </c>
      <c r="H14" t="inlineStr">
        <is>
          <t>MT_R13_CTA. CORRIENTE</t>
        </is>
      </c>
      <c r="I14" t="inlineStr">
        <is>
          <t>MT_R13_CTA. CORRIENTE PERSONAS_CORE</t>
        </is>
      </c>
      <c r="K14" t="n">
        <v>13</v>
      </c>
      <c r="M14" s="71" t="n">
        <v>46295</v>
      </c>
      <c r="N14" s="71" t="n">
        <v>46295</v>
      </c>
      <c r="O14" s="71" t="n">
        <v>46295</v>
      </c>
      <c r="P14" t="n">
        <v>7998038670.26005</v>
      </c>
      <c r="V14" t="n">
        <v>1</v>
      </c>
      <c r="W14" t="inlineStr">
        <is>
          <t>BALANCE TASAS</t>
        </is>
      </c>
      <c r="Y14" t="inlineStr">
        <is>
          <t>BALANCE TASAS</t>
        </is>
      </c>
      <c r="Z14" t="inlineStr">
        <is>
          <t>HTM</t>
        </is>
      </c>
      <c r="AA14" t="n">
        <v>1</v>
      </c>
    </row>
    <row r="15">
      <c r="A15" s="71" t="n">
        <v>45923</v>
      </c>
      <c r="B15" t="n">
        <v>1</v>
      </c>
      <c r="D15" t="inlineStr">
        <is>
          <t>PAS</t>
        </is>
      </c>
      <c r="E15" t="inlineStr">
        <is>
          <t>CLP</t>
        </is>
      </c>
      <c r="F15" t="inlineStr">
        <is>
          <t>CLP</t>
        </is>
      </c>
      <c r="H15" t="inlineStr">
        <is>
          <t>MT_R13_CTA. CORRIENTE</t>
        </is>
      </c>
      <c r="I15" t="inlineStr">
        <is>
          <t>MT_R13_CTA. CORRIENTE PERSONAS_CORE</t>
        </is>
      </c>
      <c r="K15" t="n">
        <v>14</v>
      </c>
      <c r="M15" s="71" t="n">
        <v>46326</v>
      </c>
      <c r="N15" s="71" t="n">
        <v>46326</v>
      </c>
      <c r="O15" s="71" t="n">
        <v>46326</v>
      </c>
      <c r="P15" t="n">
        <v>7920776425.191195</v>
      </c>
      <c r="V15" t="n">
        <v>1</v>
      </c>
      <c r="W15" t="inlineStr">
        <is>
          <t>BALANCE TASAS</t>
        </is>
      </c>
      <c r="Y15" t="inlineStr">
        <is>
          <t>BALANCE TASAS</t>
        </is>
      </c>
      <c r="Z15" t="inlineStr">
        <is>
          <t>HTM</t>
        </is>
      </c>
      <c r="AA15" t="n">
        <v>1</v>
      </c>
    </row>
    <row r="16">
      <c r="A16" s="71" t="n">
        <v>45923</v>
      </c>
      <c r="B16" t="n">
        <v>1</v>
      </c>
      <c r="D16" t="inlineStr">
        <is>
          <t>PAS</t>
        </is>
      </c>
      <c r="E16" t="inlineStr">
        <is>
          <t>CLP</t>
        </is>
      </c>
      <c r="F16" t="inlineStr">
        <is>
          <t>CLP</t>
        </is>
      </c>
      <c r="H16" t="inlineStr">
        <is>
          <t>MT_R13_CTA. CORRIENTE</t>
        </is>
      </c>
      <c r="I16" t="inlineStr">
        <is>
          <t>MT_R13_CTA. CORRIENTE PERSONAS_CORE</t>
        </is>
      </c>
      <c r="K16" t="n">
        <v>15</v>
      </c>
      <c r="M16" s="71" t="n">
        <v>46356</v>
      </c>
      <c r="N16" s="71" t="n">
        <v>46356</v>
      </c>
      <c r="O16" s="71" t="n">
        <v>46356</v>
      </c>
      <c r="P16" t="n">
        <v>7844445050.54486</v>
      </c>
      <c r="V16" t="n">
        <v>1</v>
      </c>
      <c r="W16" t="inlineStr">
        <is>
          <t>BALANCE TASAS</t>
        </is>
      </c>
      <c r="Y16" t="inlineStr">
        <is>
          <t>BALANCE TASAS</t>
        </is>
      </c>
      <c r="Z16" t="inlineStr">
        <is>
          <t>HTM</t>
        </is>
      </c>
      <c r="AA16" t="n">
        <v>1</v>
      </c>
    </row>
    <row r="17">
      <c r="A17" s="71" t="n">
        <v>45923</v>
      </c>
      <c r="B17" t="n">
        <v>1</v>
      </c>
      <c r="D17" t="inlineStr">
        <is>
          <t>PAS</t>
        </is>
      </c>
      <c r="E17" t="inlineStr">
        <is>
          <t>CLP</t>
        </is>
      </c>
      <c r="F17" t="inlineStr">
        <is>
          <t>CLP</t>
        </is>
      </c>
      <c r="H17" t="inlineStr">
        <is>
          <t>MT_R13_CTA. CORRIENTE</t>
        </is>
      </c>
      <c r="I17" t="inlineStr">
        <is>
          <t>MT_R13_CTA. CORRIENTE PERSONAS_CORE</t>
        </is>
      </c>
      <c r="K17" t="n">
        <v>16</v>
      </c>
      <c r="M17" s="71" t="n">
        <v>46387</v>
      </c>
      <c r="N17" s="71" t="n">
        <v>46387</v>
      </c>
      <c r="O17" s="71" t="n">
        <v>46387</v>
      </c>
      <c r="P17" t="n">
        <v>7769044546.321038</v>
      </c>
      <c r="V17" t="n">
        <v>1</v>
      </c>
      <c r="W17" t="inlineStr">
        <is>
          <t>BALANCE TASAS</t>
        </is>
      </c>
      <c r="Y17" t="inlineStr">
        <is>
          <t>BALANCE TASAS</t>
        </is>
      </c>
      <c r="Z17" t="inlineStr">
        <is>
          <t>HTM</t>
        </is>
      </c>
      <c r="AA17" t="n">
        <v>1</v>
      </c>
    </row>
    <row r="18">
      <c r="A18" s="71" t="n">
        <v>45923</v>
      </c>
      <c r="B18" t="n">
        <v>1</v>
      </c>
      <c r="D18" t="inlineStr">
        <is>
          <t>PAS</t>
        </is>
      </c>
      <c r="E18" t="inlineStr">
        <is>
          <t>CLP</t>
        </is>
      </c>
      <c r="F18" t="inlineStr">
        <is>
          <t>CLP</t>
        </is>
      </c>
      <c r="H18" t="inlineStr">
        <is>
          <t>MT_R13_CTA. CORRIENTE</t>
        </is>
      </c>
      <c r="I18" t="inlineStr">
        <is>
          <t>MT_R13_CTA. CORRIENTE PERSONAS_CORE</t>
        </is>
      </c>
      <c r="K18" t="n">
        <v>17</v>
      </c>
      <c r="M18" s="71" t="n">
        <v>46418</v>
      </c>
      <c r="N18" s="71" t="n">
        <v>46418</v>
      </c>
      <c r="O18" s="71" t="n">
        <v>46418</v>
      </c>
      <c r="P18" t="n">
        <v>7693644042.097219</v>
      </c>
      <c r="V18" t="n">
        <v>1</v>
      </c>
      <c r="W18" t="inlineStr">
        <is>
          <t>BALANCE TASAS</t>
        </is>
      </c>
      <c r="Y18" t="inlineStr">
        <is>
          <t>BALANCE TASAS</t>
        </is>
      </c>
      <c r="Z18" t="inlineStr">
        <is>
          <t>HTM</t>
        </is>
      </c>
      <c r="AA18" t="n">
        <v>1</v>
      </c>
    </row>
    <row r="19">
      <c r="A19" s="71" t="n">
        <v>45923</v>
      </c>
      <c r="B19" t="n">
        <v>1</v>
      </c>
      <c r="D19" t="inlineStr">
        <is>
          <t>PAS</t>
        </is>
      </c>
      <c r="E19" t="inlineStr">
        <is>
          <t>CLP</t>
        </is>
      </c>
      <c r="F19" t="inlineStr">
        <is>
          <t>CLP</t>
        </is>
      </c>
      <c r="H19" t="inlineStr">
        <is>
          <t>MT_R13_CTA. CORRIENTE</t>
        </is>
      </c>
      <c r="I19" t="inlineStr">
        <is>
          <t>MT_R13_CTA. CORRIENTE PERSONAS_CORE</t>
        </is>
      </c>
      <c r="K19" t="n">
        <v>18</v>
      </c>
      <c r="M19" s="71" t="n">
        <v>46446</v>
      </c>
      <c r="N19" s="71" t="n">
        <v>46446</v>
      </c>
      <c r="O19" s="71" t="n">
        <v>46446</v>
      </c>
      <c r="P19" t="n">
        <v>7620105278.718431</v>
      </c>
      <c r="V19" t="n">
        <v>1</v>
      </c>
      <c r="W19" t="inlineStr">
        <is>
          <t>BALANCE TASAS</t>
        </is>
      </c>
      <c r="Y19" t="inlineStr">
        <is>
          <t>BALANCE TASAS</t>
        </is>
      </c>
      <c r="Z19" t="inlineStr">
        <is>
          <t>HTM</t>
        </is>
      </c>
      <c r="AA19" t="n">
        <v>1</v>
      </c>
    </row>
    <row r="20">
      <c r="A20" s="71" t="n">
        <v>45923</v>
      </c>
      <c r="B20" t="n">
        <v>1</v>
      </c>
      <c r="D20" t="inlineStr">
        <is>
          <t>PAS</t>
        </is>
      </c>
      <c r="E20" t="inlineStr">
        <is>
          <t>CLP</t>
        </is>
      </c>
      <c r="F20" t="inlineStr">
        <is>
          <t>CLP</t>
        </is>
      </c>
      <c r="H20" t="inlineStr">
        <is>
          <t>MT_R13_CTA. CORRIENTE</t>
        </is>
      </c>
      <c r="I20" t="inlineStr">
        <is>
          <t>MT_R13_CTA. CORRIENTE PERSONAS_CORE</t>
        </is>
      </c>
      <c r="K20" t="n">
        <v>19</v>
      </c>
      <c r="M20" s="71" t="n">
        <v>46477</v>
      </c>
      <c r="N20" s="71" t="n">
        <v>46477</v>
      </c>
      <c r="O20" s="71" t="n">
        <v>46477</v>
      </c>
      <c r="P20" t="n">
        <v>7546566515.339643</v>
      </c>
      <c r="V20" t="n">
        <v>1</v>
      </c>
      <c r="W20" t="inlineStr">
        <is>
          <t>BALANCE TASAS</t>
        </is>
      </c>
      <c r="Y20" t="inlineStr">
        <is>
          <t>BALANCE TASAS</t>
        </is>
      </c>
      <c r="Z20" t="inlineStr">
        <is>
          <t>HTM</t>
        </is>
      </c>
      <c r="AA20" t="n">
        <v>1</v>
      </c>
    </row>
    <row r="21">
      <c r="A21" s="71" t="n">
        <v>45923</v>
      </c>
      <c r="B21" t="n">
        <v>1</v>
      </c>
      <c r="D21" t="inlineStr">
        <is>
          <t>PAS</t>
        </is>
      </c>
      <c r="E21" t="inlineStr">
        <is>
          <t>CLP</t>
        </is>
      </c>
      <c r="F21" t="inlineStr">
        <is>
          <t>CLP</t>
        </is>
      </c>
      <c r="H21" t="inlineStr">
        <is>
          <t>MT_R13_CTA. CORRIENTE</t>
        </is>
      </c>
      <c r="I21" t="inlineStr">
        <is>
          <t>MT_R13_CTA. CORRIENTE PERSONAS_CORE</t>
        </is>
      </c>
      <c r="K21" t="n">
        <v>20</v>
      </c>
      <c r="M21" s="71" t="n">
        <v>46507</v>
      </c>
      <c r="N21" s="71" t="n">
        <v>46507</v>
      </c>
      <c r="O21" s="71" t="n">
        <v>46507</v>
      </c>
      <c r="P21" t="n">
        <v>7473027751.960856</v>
      </c>
      <c r="V21" t="n">
        <v>1</v>
      </c>
      <c r="W21" t="inlineStr">
        <is>
          <t>BALANCE TASAS</t>
        </is>
      </c>
      <c r="Y21" t="inlineStr">
        <is>
          <t>BALANCE TASAS</t>
        </is>
      </c>
      <c r="Z21" t="inlineStr">
        <is>
          <t>HTM</t>
        </is>
      </c>
      <c r="AA21" t="n">
        <v>1</v>
      </c>
    </row>
    <row r="22">
      <c r="A22" s="71" t="n">
        <v>45923</v>
      </c>
      <c r="B22" t="n">
        <v>1</v>
      </c>
      <c r="D22" t="inlineStr">
        <is>
          <t>PAS</t>
        </is>
      </c>
      <c r="E22" t="inlineStr">
        <is>
          <t>CLP</t>
        </is>
      </c>
      <c r="F22" t="inlineStr">
        <is>
          <t>CLP</t>
        </is>
      </c>
      <c r="H22" t="inlineStr">
        <is>
          <t>MT_R13_CTA. CORRIENTE</t>
        </is>
      </c>
      <c r="I22" t="inlineStr">
        <is>
          <t>MT_R13_CTA. CORRIENTE PERSONAS_CORE</t>
        </is>
      </c>
      <c r="K22" t="n">
        <v>21</v>
      </c>
      <c r="M22" s="71" t="n">
        <v>46538</v>
      </c>
      <c r="N22" s="71" t="n">
        <v>46538</v>
      </c>
      <c r="O22" s="71" t="n">
        <v>46538</v>
      </c>
      <c r="P22" t="n">
        <v>7401350729.4271</v>
      </c>
      <c r="V22" t="n">
        <v>1</v>
      </c>
      <c r="W22" t="inlineStr">
        <is>
          <t>BALANCE TASAS</t>
        </is>
      </c>
      <c r="Y22" t="inlineStr">
        <is>
          <t>BALANCE TASAS</t>
        </is>
      </c>
      <c r="Z22" t="inlineStr">
        <is>
          <t>HTM</t>
        </is>
      </c>
      <c r="AA22" t="n">
        <v>1</v>
      </c>
    </row>
    <row r="23">
      <c r="A23" s="71" t="n">
        <v>45923</v>
      </c>
      <c r="B23" t="n">
        <v>1</v>
      </c>
      <c r="D23" t="inlineStr">
        <is>
          <t>PAS</t>
        </is>
      </c>
      <c r="E23" t="inlineStr">
        <is>
          <t>CLP</t>
        </is>
      </c>
      <c r="F23" t="inlineStr">
        <is>
          <t>CLP</t>
        </is>
      </c>
      <c r="H23" t="inlineStr">
        <is>
          <t>MT_R13_CTA. CORRIENTE</t>
        </is>
      </c>
      <c r="I23" t="inlineStr">
        <is>
          <t>MT_R13_CTA. CORRIENTE PERSONAS_CORE</t>
        </is>
      </c>
      <c r="K23" t="n">
        <v>22</v>
      </c>
      <c r="M23" s="71" t="n">
        <v>46568</v>
      </c>
      <c r="N23" s="71" t="n">
        <v>46568</v>
      </c>
      <c r="O23" s="71" t="n">
        <v>46568</v>
      </c>
      <c r="P23" t="n">
        <v>7329673706.893347</v>
      </c>
      <c r="V23" t="n">
        <v>1</v>
      </c>
      <c r="W23" t="inlineStr">
        <is>
          <t>BALANCE TASAS</t>
        </is>
      </c>
      <c r="Y23" t="inlineStr">
        <is>
          <t>BALANCE TASAS</t>
        </is>
      </c>
      <c r="Z23" t="inlineStr">
        <is>
          <t>HTM</t>
        </is>
      </c>
      <c r="AA23" t="n">
        <v>1</v>
      </c>
    </row>
    <row r="24">
      <c r="A24" s="71" t="n">
        <v>45923</v>
      </c>
      <c r="B24" t="n">
        <v>1</v>
      </c>
      <c r="D24" t="inlineStr">
        <is>
          <t>PAS</t>
        </is>
      </c>
      <c r="E24" t="inlineStr">
        <is>
          <t>CLP</t>
        </is>
      </c>
      <c r="F24" t="inlineStr">
        <is>
          <t>CLP</t>
        </is>
      </c>
      <c r="H24" t="inlineStr">
        <is>
          <t>MT_R13_CTA. CORRIENTE</t>
        </is>
      </c>
      <c r="I24" t="inlineStr">
        <is>
          <t>MT_R13_CTA. CORRIENTE PERSONAS_CORE</t>
        </is>
      </c>
      <c r="K24" t="n">
        <v>23</v>
      </c>
      <c r="M24" s="71" t="n">
        <v>46599</v>
      </c>
      <c r="N24" s="71" t="n">
        <v>46599</v>
      </c>
      <c r="O24" s="71" t="n">
        <v>46599</v>
      </c>
      <c r="P24" t="n">
        <v>7258927554.782107</v>
      </c>
      <c r="V24" t="n">
        <v>1</v>
      </c>
      <c r="W24" t="inlineStr">
        <is>
          <t>BALANCE TASAS</t>
        </is>
      </c>
      <c r="Y24" t="inlineStr">
        <is>
          <t>BALANCE TASAS</t>
        </is>
      </c>
      <c r="Z24" t="inlineStr">
        <is>
          <t>HTM</t>
        </is>
      </c>
      <c r="AA24" t="n">
        <v>1</v>
      </c>
    </row>
    <row r="25">
      <c r="A25" s="71" t="n">
        <v>45923</v>
      </c>
      <c r="B25" t="n">
        <v>1</v>
      </c>
      <c r="D25" t="inlineStr">
        <is>
          <t>PAS</t>
        </is>
      </c>
      <c r="E25" t="inlineStr">
        <is>
          <t>CLP</t>
        </is>
      </c>
      <c r="F25" t="inlineStr">
        <is>
          <t>CLP</t>
        </is>
      </c>
      <c r="H25" t="inlineStr">
        <is>
          <t>MT_R13_CTA. CORRIENTE</t>
        </is>
      </c>
      <c r="I25" t="inlineStr">
        <is>
          <t>MT_R13_CTA. CORRIENTE PERSONAS_CORE</t>
        </is>
      </c>
      <c r="K25" t="n">
        <v>24</v>
      </c>
      <c r="M25" s="71" t="n">
        <v>46630</v>
      </c>
      <c r="N25" s="71" t="n">
        <v>46630</v>
      </c>
      <c r="O25" s="71" t="n">
        <v>46630</v>
      </c>
      <c r="P25" t="n">
        <v>7189112273.093384</v>
      </c>
      <c r="V25" t="n">
        <v>1</v>
      </c>
      <c r="W25" t="inlineStr">
        <is>
          <t>BALANCE TASAS</t>
        </is>
      </c>
      <c r="Y25" t="inlineStr">
        <is>
          <t>BALANCE TASAS</t>
        </is>
      </c>
      <c r="Z25" t="inlineStr">
        <is>
          <t>HTM</t>
        </is>
      </c>
      <c r="AA25" t="n">
        <v>1</v>
      </c>
    </row>
    <row r="26">
      <c r="A26" s="71" t="n">
        <v>45923</v>
      </c>
      <c r="B26" t="n">
        <v>1</v>
      </c>
      <c r="D26" t="inlineStr">
        <is>
          <t>PAS</t>
        </is>
      </c>
      <c r="E26" t="inlineStr">
        <is>
          <t>CLP</t>
        </is>
      </c>
      <c r="F26" t="inlineStr">
        <is>
          <t>CLP</t>
        </is>
      </c>
      <c r="H26" t="inlineStr">
        <is>
          <t>MT_R13_CTA. CORRIENTE</t>
        </is>
      </c>
      <c r="I26" t="inlineStr">
        <is>
          <t>MT_R13_CTA. CORRIENTE PERSONAS_CORE</t>
        </is>
      </c>
      <c r="K26" t="n">
        <v>25</v>
      </c>
      <c r="M26" s="71" t="n">
        <v>46660</v>
      </c>
      <c r="N26" s="71" t="n">
        <v>46660</v>
      </c>
      <c r="O26" s="71" t="n">
        <v>46660</v>
      </c>
      <c r="P26" t="n">
        <v>7119296991.404662</v>
      </c>
      <c r="V26" t="n">
        <v>1</v>
      </c>
      <c r="W26" t="inlineStr">
        <is>
          <t>BALANCE TASAS</t>
        </is>
      </c>
      <c r="Y26" t="inlineStr">
        <is>
          <t>BALANCE TASAS</t>
        </is>
      </c>
      <c r="Z26" t="inlineStr">
        <is>
          <t>HTM</t>
        </is>
      </c>
      <c r="AA26" t="n">
        <v>1</v>
      </c>
    </row>
    <row r="27">
      <c r="A27" s="71" t="n">
        <v>45923</v>
      </c>
      <c r="B27" t="n">
        <v>1</v>
      </c>
      <c r="D27" t="inlineStr">
        <is>
          <t>PAS</t>
        </is>
      </c>
      <c r="E27" t="inlineStr">
        <is>
          <t>CLP</t>
        </is>
      </c>
      <c r="F27" t="inlineStr">
        <is>
          <t>CLP</t>
        </is>
      </c>
      <c r="H27" t="inlineStr">
        <is>
          <t>MT_R13_CTA. CORRIENTE</t>
        </is>
      </c>
      <c r="I27" t="inlineStr">
        <is>
          <t>MT_R13_CTA. CORRIENTE PERSONAS_CORE</t>
        </is>
      </c>
      <c r="K27" t="n">
        <v>26</v>
      </c>
      <c r="M27" s="71" t="n">
        <v>46691</v>
      </c>
      <c r="N27" s="71" t="n">
        <v>46691</v>
      </c>
      <c r="O27" s="71" t="n">
        <v>46691</v>
      </c>
      <c r="P27" t="n">
        <v>7050412580.138455</v>
      </c>
      <c r="V27" t="n">
        <v>1</v>
      </c>
      <c r="W27" t="inlineStr">
        <is>
          <t>BALANCE TASAS</t>
        </is>
      </c>
      <c r="Y27" t="inlineStr">
        <is>
          <t>BALANCE TASAS</t>
        </is>
      </c>
      <c r="Z27" t="inlineStr">
        <is>
          <t>HTM</t>
        </is>
      </c>
      <c r="AA27" t="n">
        <v>1</v>
      </c>
    </row>
    <row r="28">
      <c r="A28" s="71" t="n">
        <v>45923</v>
      </c>
      <c r="B28" t="n">
        <v>1</v>
      </c>
      <c r="D28" t="inlineStr">
        <is>
          <t>PAS</t>
        </is>
      </c>
      <c r="E28" t="inlineStr">
        <is>
          <t>CLP</t>
        </is>
      </c>
      <c r="F28" t="inlineStr">
        <is>
          <t>CLP</t>
        </is>
      </c>
      <c r="H28" t="inlineStr">
        <is>
          <t>MT_R13_CTA. CORRIENTE</t>
        </is>
      </c>
      <c r="I28" t="inlineStr">
        <is>
          <t>MT_R13_CTA. CORRIENTE PERSONAS_CORE</t>
        </is>
      </c>
      <c r="K28" t="n">
        <v>27</v>
      </c>
      <c r="M28" s="71" t="n">
        <v>46721</v>
      </c>
      <c r="N28" s="71" t="n">
        <v>46721</v>
      </c>
      <c r="O28" s="71" t="n">
        <v>46721</v>
      </c>
      <c r="P28" t="n">
        <v>6982459039.294765</v>
      </c>
      <c r="V28" t="n">
        <v>1</v>
      </c>
      <c r="W28" t="inlineStr">
        <is>
          <t>BALANCE TASAS</t>
        </is>
      </c>
      <c r="Y28" t="inlineStr">
        <is>
          <t>BALANCE TASAS</t>
        </is>
      </c>
      <c r="Z28" t="inlineStr">
        <is>
          <t>HTM</t>
        </is>
      </c>
      <c r="AA28" t="n">
        <v>1</v>
      </c>
    </row>
    <row r="29">
      <c r="A29" s="71" t="n">
        <v>45923</v>
      </c>
      <c r="B29" t="n">
        <v>1</v>
      </c>
      <c r="D29" t="inlineStr">
        <is>
          <t>PAS</t>
        </is>
      </c>
      <c r="E29" t="inlineStr">
        <is>
          <t>CLP</t>
        </is>
      </c>
      <c r="F29" t="inlineStr">
        <is>
          <t>CLP</t>
        </is>
      </c>
      <c r="H29" t="inlineStr">
        <is>
          <t>MT_R13_CTA. CORRIENTE</t>
        </is>
      </c>
      <c r="I29" t="inlineStr">
        <is>
          <t>MT_R13_CTA. CORRIENTE PERSONAS_CORE</t>
        </is>
      </c>
      <c r="K29" t="n">
        <v>28</v>
      </c>
      <c r="M29" s="71" t="n">
        <v>46752</v>
      </c>
      <c r="N29" s="71" t="n">
        <v>46752</v>
      </c>
      <c r="O29" s="71" t="n">
        <v>46752</v>
      </c>
      <c r="P29" t="n">
        <v>6915436368.873592</v>
      </c>
      <c r="V29" t="n">
        <v>1</v>
      </c>
      <c r="W29" t="inlineStr">
        <is>
          <t>BALANCE TASAS</t>
        </is>
      </c>
      <c r="Y29" t="inlineStr">
        <is>
          <t>BALANCE TASAS</t>
        </is>
      </c>
      <c r="Z29" t="inlineStr">
        <is>
          <t>HTM</t>
        </is>
      </c>
      <c r="AA29" t="n">
        <v>1</v>
      </c>
    </row>
    <row r="30">
      <c r="A30" s="71" t="n">
        <v>45923</v>
      </c>
      <c r="B30" t="n">
        <v>1</v>
      </c>
      <c r="D30" t="inlineStr">
        <is>
          <t>PAS</t>
        </is>
      </c>
      <c r="E30" t="inlineStr">
        <is>
          <t>CLP</t>
        </is>
      </c>
      <c r="F30" t="inlineStr">
        <is>
          <t>CLP</t>
        </is>
      </c>
      <c r="H30" t="inlineStr">
        <is>
          <t>MT_R13_CTA. CORRIENTE</t>
        </is>
      </c>
      <c r="I30" t="inlineStr">
        <is>
          <t>MT_R13_CTA. CORRIENTE PERSONAS_CORE</t>
        </is>
      </c>
      <c r="K30" t="n">
        <v>29</v>
      </c>
      <c r="M30" s="71" t="n">
        <v>46783</v>
      </c>
      <c r="N30" s="71" t="n">
        <v>46783</v>
      </c>
      <c r="O30" s="71" t="n">
        <v>46783</v>
      </c>
      <c r="P30" t="n">
        <v>6848413698.452418</v>
      </c>
      <c r="V30" t="n">
        <v>1</v>
      </c>
      <c r="W30" t="inlineStr">
        <is>
          <t>BALANCE TASAS</t>
        </is>
      </c>
      <c r="Y30" t="inlineStr">
        <is>
          <t>BALANCE TASAS</t>
        </is>
      </c>
      <c r="Z30" t="inlineStr">
        <is>
          <t>HTM</t>
        </is>
      </c>
      <c r="AA30" t="n">
        <v>1</v>
      </c>
    </row>
    <row r="31">
      <c r="A31" s="71" t="n">
        <v>45923</v>
      </c>
      <c r="B31" t="n">
        <v>1</v>
      </c>
      <c r="D31" t="inlineStr">
        <is>
          <t>PAS</t>
        </is>
      </c>
      <c r="E31" t="inlineStr">
        <is>
          <t>CLP</t>
        </is>
      </c>
      <c r="F31" t="inlineStr">
        <is>
          <t>CLP</t>
        </is>
      </c>
      <c r="H31" t="inlineStr">
        <is>
          <t>MT_R13_CTA. CORRIENTE</t>
        </is>
      </c>
      <c r="I31" t="inlineStr">
        <is>
          <t>MT_R13_CTA. CORRIENTE PERSONAS_CORE</t>
        </is>
      </c>
      <c r="K31" t="n">
        <v>30</v>
      </c>
      <c r="M31" s="71" t="n">
        <v>46812</v>
      </c>
      <c r="N31" s="71" t="n">
        <v>46812</v>
      </c>
      <c r="O31" s="71" t="n">
        <v>46812</v>
      </c>
      <c r="P31" t="n">
        <v>6782321898.453761</v>
      </c>
      <c r="V31" t="n">
        <v>1</v>
      </c>
      <c r="W31" t="inlineStr">
        <is>
          <t>BALANCE TASAS</t>
        </is>
      </c>
      <c r="Y31" t="inlineStr">
        <is>
          <t>BALANCE TASAS</t>
        </is>
      </c>
      <c r="Z31" t="inlineStr">
        <is>
          <t>HTM</t>
        </is>
      </c>
      <c r="AA31" t="n">
        <v>1</v>
      </c>
    </row>
    <row r="32">
      <c r="A32" s="71" t="n">
        <v>45923</v>
      </c>
      <c r="B32" t="n">
        <v>1</v>
      </c>
      <c r="D32" t="inlineStr">
        <is>
          <t>PAS</t>
        </is>
      </c>
      <c r="E32" t="inlineStr">
        <is>
          <t>CLP</t>
        </is>
      </c>
      <c r="F32" t="inlineStr">
        <is>
          <t>CLP</t>
        </is>
      </c>
      <c r="H32" t="inlineStr">
        <is>
          <t>MT_R13_CTA. CORRIENTE</t>
        </is>
      </c>
      <c r="I32" t="inlineStr">
        <is>
          <t>MT_R13_CTA. CORRIENTE PERSONAS_CORE</t>
        </is>
      </c>
      <c r="K32" t="n">
        <v>31</v>
      </c>
      <c r="M32" s="71" t="n">
        <v>46843</v>
      </c>
      <c r="N32" s="71" t="n">
        <v>46843</v>
      </c>
      <c r="O32" s="71" t="n">
        <v>46843</v>
      </c>
      <c r="P32" t="n">
        <v>6717160968.877621</v>
      </c>
      <c r="V32" t="n">
        <v>1</v>
      </c>
      <c r="W32" t="inlineStr">
        <is>
          <t>BALANCE TASAS</t>
        </is>
      </c>
      <c r="Y32" t="inlineStr">
        <is>
          <t>BALANCE TASAS</t>
        </is>
      </c>
      <c r="Z32" t="inlineStr">
        <is>
          <t>HTM</t>
        </is>
      </c>
      <c r="AA32" t="n">
        <v>1</v>
      </c>
    </row>
    <row r="33">
      <c r="A33" s="71" t="n">
        <v>45923</v>
      </c>
      <c r="B33" t="n">
        <v>1</v>
      </c>
      <c r="D33" t="inlineStr">
        <is>
          <t>PAS</t>
        </is>
      </c>
      <c r="E33" t="inlineStr">
        <is>
          <t>CLP</t>
        </is>
      </c>
      <c r="F33" t="inlineStr">
        <is>
          <t>CLP</t>
        </is>
      </c>
      <c r="H33" t="inlineStr">
        <is>
          <t>MT_R13_CTA. CORRIENTE</t>
        </is>
      </c>
      <c r="I33" t="inlineStr">
        <is>
          <t>MT_R13_CTA. CORRIENTE PERSONAS_CORE</t>
        </is>
      </c>
      <c r="K33" t="n">
        <v>32</v>
      </c>
      <c r="M33" s="71" t="n">
        <v>46873</v>
      </c>
      <c r="N33" s="71" t="n">
        <v>46873</v>
      </c>
      <c r="O33" s="71" t="n">
        <v>46873</v>
      </c>
      <c r="P33" t="n">
        <v>6652000039.301479</v>
      </c>
      <c r="V33" t="n">
        <v>1</v>
      </c>
      <c r="W33" t="inlineStr">
        <is>
          <t>BALANCE TASAS</t>
        </is>
      </c>
      <c r="Y33" t="inlineStr">
        <is>
          <t>BALANCE TASAS</t>
        </is>
      </c>
      <c r="Z33" t="inlineStr">
        <is>
          <t>HTM</t>
        </is>
      </c>
      <c r="AA33" t="n">
        <v>1</v>
      </c>
    </row>
    <row r="34">
      <c r="A34" s="71" t="n">
        <v>45923</v>
      </c>
      <c r="B34" t="n">
        <v>1</v>
      </c>
      <c r="D34" t="inlineStr">
        <is>
          <t>PAS</t>
        </is>
      </c>
      <c r="E34" t="inlineStr">
        <is>
          <t>CLP</t>
        </is>
      </c>
      <c r="F34" t="inlineStr">
        <is>
          <t>CLP</t>
        </is>
      </c>
      <c r="H34" t="inlineStr">
        <is>
          <t>MT_R13_CTA. CORRIENTE</t>
        </is>
      </c>
      <c r="I34" t="inlineStr">
        <is>
          <t>MT_R13_CTA. CORRIENTE PERSONAS_CORE</t>
        </is>
      </c>
      <c r="K34" t="n">
        <v>33</v>
      </c>
      <c r="M34" s="71" t="n">
        <v>46904</v>
      </c>
      <c r="N34" s="71" t="n">
        <v>46904</v>
      </c>
      <c r="O34" s="71" t="n">
        <v>46904</v>
      </c>
      <c r="P34" t="n">
        <v>6587769980.147855</v>
      </c>
      <c r="V34" t="n">
        <v>1</v>
      </c>
      <c r="W34" t="inlineStr">
        <is>
          <t>BALANCE TASAS</t>
        </is>
      </c>
      <c r="Y34" t="inlineStr">
        <is>
          <t>BALANCE TASAS</t>
        </is>
      </c>
      <c r="Z34" t="inlineStr">
        <is>
          <t>HTM</t>
        </is>
      </c>
      <c r="AA34" t="n">
        <v>1</v>
      </c>
    </row>
    <row r="35">
      <c r="A35" s="71" t="n">
        <v>45923</v>
      </c>
      <c r="B35" t="n">
        <v>1</v>
      </c>
      <c r="D35" t="inlineStr">
        <is>
          <t>PAS</t>
        </is>
      </c>
      <c r="E35" t="inlineStr">
        <is>
          <t>CLP</t>
        </is>
      </c>
      <c r="F35" t="inlineStr">
        <is>
          <t>CLP</t>
        </is>
      </c>
      <c r="H35" t="inlineStr">
        <is>
          <t>MT_R13_CTA. CORRIENTE</t>
        </is>
      </c>
      <c r="I35" t="inlineStr">
        <is>
          <t>MT_R13_CTA. CORRIENTE PERSONAS_CORE</t>
        </is>
      </c>
      <c r="K35" t="n">
        <v>34</v>
      </c>
      <c r="M35" s="71" t="n">
        <v>46934</v>
      </c>
      <c r="N35" s="71" t="n">
        <v>46934</v>
      </c>
      <c r="O35" s="71" t="n">
        <v>46934</v>
      </c>
      <c r="P35" t="n">
        <v>6524470791.416746</v>
      </c>
      <c r="V35" t="n">
        <v>1</v>
      </c>
      <c r="W35" t="inlineStr">
        <is>
          <t>BALANCE TASAS</t>
        </is>
      </c>
      <c r="Y35" t="inlineStr">
        <is>
          <t>BALANCE TASAS</t>
        </is>
      </c>
      <c r="Z35" t="inlineStr">
        <is>
          <t>HTM</t>
        </is>
      </c>
      <c r="AA35" t="n">
        <v>1</v>
      </c>
    </row>
    <row r="36">
      <c r="A36" s="71" t="n">
        <v>45923</v>
      </c>
      <c r="B36" t="n">
        <v>1</v>
      </c>
      <c r="D36" t="inlineStr">
        <is>
          <t>PAS</t>
        </is>
      </c>
      <c r="E36" t="inlineStr">
        <is>
          <t>CLP</t>
        </is>
      </c>
      <c r="F36" t="inlineStr">
        <is>
          <t>CLP</t>
        </is>
      </c>
      <c r="H36" t="inlineStr">
        <is>
          <t>MT_R13_CTA. CORRIENTE</t>
        </is>
      </c>
      <c r="I36" t="inlineStr">
        <is>
          <t>MT_R13_CTA. CORRIENTE PERSONAS_CORE</t>
        </is>
      </c>
      <c r="K36" t="n">
        <v>35</v>
      </c>
      <c r="M36" s="71" t="n">
        <v>46965</v>
      </c>
      <c r="N36" s="71" t="n">
        <v>46965</v>
      </c>
      <c r="O36" s="71" t="n">
        <v>46965</v>
      </c>
      <c r="P36" t="n">
        <v>6461171602.685637</v>
      </c>
      <c r="V36" t="n">
        <v>1</v>
      </c>
      <c r="W36" t="inlineStr">
        <is>
          <t>BALANCE TASAS</t>
        </is>
      </c>
      <c r="Y36" t="inlineStr">
        <is>
          <t>BALANCE TASAS</t>
        </is>
      </c>
      <c r="Z36" t="inlineStr">
        <is>
          <t>HTM</t>
        </is>
      </c>
      <c r="AA36" t="n">
        <v>1</v>
      </c>
    </row>
    <row r="37">
      <c r="A37" s="71" t="n">
        <v>45923</v>
      </c>
      <c r="B37" t="n">
        <v>1</v>
      </c>
      <c r="D37" t="inlineStr">
        <is>
          <t>PAS</t>
        </is>
      </c>
      <c r="E37" t="inlineStr">
        <is>
          <t>CLP</t>
        </is>
      </c>
      <c r="F37" t="inlineStr">
        <is>
          <t>CLP</t>
        </is>
      </c>
      <c r="H37" t="inlineStr">
        <is>
          <t>MT_R13_CTA. CORRIENTE</t>
        </is>
      </c>
      <c r="I37" t="inlineStr">
        <is>
          <t>MT_R13_CTA. CORRIENTE PERSONAS_CORE</t>
        </is>
      </c>
      <c r="K37" t="n">
        <v>36</v>
      </c>
      <c r="M37" s="71" t="n">
        <v>46996</v>
      </c>
      <c r="N37" s="71" t="n">
        <v>46996</v>
      </c>
      <c r="O37" s="71" t="n">
        <v>46996</v>
      </c>
      <c r="P37" t="n">
        <v>6398803284.377046</v>
      </c>
      <c r="V37" t="n">
        <v>1</v>
      </c>
      <c r="W37" t="inlineStr">
        <is>
          <t>BALANCE TASAS</t>
        </is>
      </c>
      <c r="Y37" t="inlineStr">
        <is>
          <t>BALANCE TASAS</t>
        </is>
      </c>
      <c r="Z37" t="inlineStr">
        <is>
          <t>HTM</t>
        </is>
      </c>
      <c r="AA37" t="n">
        <v>1</v>
      </c>
    </row>
    <row r="38">
      <c r="A38" s="71" t="n">
        <v>45923</v>
      </c>
      <c r="B38" t="n">
        <v>1</v>
      </c>
      <c r="D38" t="inlineStr">
        <is>
          <t>PAS</t>
        </is>
      </c>
      <c r="E38" t="inlineStr">
        <is>
          <t>CLP</t>
        </is>
      </c>
      <c r="F38" t="inlineStr">
        <is>
          <t>CLP</t>
        </is>
      </c>
      <c r="H38" t="inlineStr">
        <is>
          <t>MT_R13_CTA. CORRIENTE</t>
        </is>
      </c>
      <c r="I38" t="inlineStr">
        <is>
          <t>MT_R13_CTA. CORRIENTE PERSONAS_CORE</t>
        </is>
      </c>
      <c r="K38" t="n">
        <v>37</v>
      </c>
      <c r="M38" s="71" t="n">
        <v>47026</v>
      </c>
      <c r="N38" s="71" t="n">
        <v>47026</v>
      </c>
      <c r="O38" s="71" t="n">
        <v>47026</v>
      </c>
      <c r="P38" t="n">
        <v>6337365836.49097</v>
      </c>
      <c r="V38" t="n">
        <v>1</v>
      </c>
      <c r="W38" t="inlineStr">
        <is>
          <t>BALANCE TASAS</t>
        </is>
      </c>
      <c r="Y38" t="inlineStr">
        <is>
          <t>BALANCE TASAS</t>
        </is>
      </c>
      <c r="Z38" t="inlineStr">
        <is>
          <t>HTM</t>
        </is>
      </c>
      <c r="AA38" t="n">
        <v>1</v>
      </c>
    </row>
    <row r="39">
      <c r="A39" s="71" t="n">
        <v>45923</v>
      </c>
      <c r="B39" t="n">
        <v>1</v>
      </c>
      <c r="D39" t="inlineStr">
        <is>
          <t>PAS</t>
        </is>
      </c>
      <c r="E39" t="inlineStr">
        <is>
          <t>CLP</t>
        </is>
      </c>
      <c r="F39" t="inlineStr">
        <is>
          <t>CLP</t>
        </is>
      </c>
      <c r="H39" t="inlineStr">
        <is>
          <t>MT_R13_CTA. CORRIENTE</t>
        </is>
      </c>
      <c r="I39" t="inlineStr">
        <is>
          <t>MT_R13_CTA. CORRIENTE PERSONAS_CORE</t>
        </is>
      </c>
      <c r="K39" t="n">
        <v>38</v>
      </c>
      <c r="M39" s="71" t="n">
        <v>47057</v>
      </c>
      <c r="N39" s="71" t="n">
        <v>47057</v>
      </c>
      <c r="O39" s="71" t="n">
        <v>47057</v>
      </c>
      <c r="P39" t="n">
        <v>6275928388.604894</v>
      </c>
      <c r="V39" t="n">
        <v>1</v>
      </c>
      <c r="W39" t="inlineStr">
        <is>
          <t>BALANCE TASAS</t>
        </is>
      </c>
      <c r="Y39" t="inlineStr">
        <is>
          <t>BALANCE TASAS</t>
        </is>
      </c>
      <c r="Z39" t="inlineStr">
        <is>
          <t>HTM</t>
        </is>
      </c>
      <c r="AA39" t="n">
        <v>1</v>
      </c>
    </row>
    <row r="40">
      <c r="A40" s="71" t="n">
        <v>45923</v>
      </c>
      <c r="B40" t="n">
        <v>1</v>
      </c>
      <c r="D40" t="inlineStr">
        <is>
          <t>PAS</t>
        </is>
      </c>
      <c r="E40" t="inlineStr">
        <is>
          <t>CLP</t>
        </is>
      </c>
      <c r="F40" t="inlineStr">
        <is>
          <t>CLP</t>
        </is>
      </c>
      <c r="H40" t="inlineStr">
        <is>
          <t>MT_R13_CTA. CORRIENTE</t>
        </is>
      </c>
      <c r="I40" t="inlineStr">
        <is>
          <t>MT_R13_CTA. CORRIENTE PERSONAS_CORE</t>
        </is>
      </c>
      <c r="K40" t="n">
        <v>39</v>
      </c>
      <c r="M40" s="71" t="n">
        <v>47087</v>
      </c>
      <c r="N40" s="71" t="n">
        <v>47087</v>
      </c>
      <c r="O40" s="71" t="n">
        <v>47087</v>
      </c>
      <c r="P40" t="n">
        <v>6215421811.141335</v>
      </c>
      <c r="V40" t="n">
        <v>1</v>
      </c>
      <c r="W40" t="inlineStr">
        <is>
          <t>BALANCE TASAS</t>
        </is>
      </c>
      <c r="Y40" t="inlineStr">
        <is>
          <t>BALANCE TASAS</t>
        </is>
      </c>
      <c r="Z40" t="inlineStr">
        <is>
          <t>HTM</t>
        </is>
      </c>
      <c r="AA40" t="n">
        <v>1</v>
      </c>
    </row>
    <row r="41">
      <c r="A41" s="71" t="n">
        <v>45923</v>
      </c>
      <c r="B41" t="n">
        <v>1</v>
      </c>
      <c r="D41" t="inlineStr">
        <is>
          <t>PAS</t>
        </is>
      </c>
      <c r="E41" t="inlineStr">
        <is>
          <t>CLP</t>
        </is>
      </c>
      <c r="F41" t="inlineStr">
        <is>
          <t>CLP</t>
        </is>
      </c>
      <c r="H41" t="inlineStr">
        <is>
          <t>MT_R13_CTA. CORRIENTE</t>
        </is>
      </c>
      <c r="I41" t="inlineStr">
        <is>
          <t>MT_R13_CTA. CORRIENTE PERSONAS_CORE</t>
        </is>
      </c>
      <c r="K41" t="n">
        <v>40</v>
      </c>
      <c r="M41" s="71" t="n">
        <v>47118</v>
      </c>
      <c r="N41" s="71" t="n">
        <v>47118</v>
      </c>
      <c r="O41" s="71" t="n">
        <v>47118</v>
      </c>
      <c r="P41" t="n">
        <v>6155846104.100291</v>
      </c>
      <c r="V41" t="n">
        <v>1</v>
      </c>
      <c r="W41" t="inlineStr">
        <is>
          <t>BALANCE TASAS</t>
        </is>
      </c>
      <c r="Y41" t="inlineStr">
        <is>
          <t>BALANCE TASAS</t>
        </is>
      </c>
      <c r="Z41" t="inlineStr">
        <is>
          <t>HTM</t>
        </is>
      </c>
      <c r="AA41" t="n">
        <v>1</v>
      </c>
    </row>
    <row r="42">
      <c r="A42" s="71" t="n">
        <v>45923</v>
      </c>
      <c r="B42" t="n">
        <v>1</v>
      </c>
      <c r="D42" t="inlineStr">
        <is>
          <t>PAS</t>
        </is>
      </c>
      <c r="E42" t="inlineStr">
        <is>
          <t>CLP</t>
        </is>
      </c>
      <c r="F42" t="inlineStr">
        <is>
          <t>CLP</t>
        </is>
      </c>
      <c r="H42" t="inlineStr">
        <is>
          <t>MT_R13_CTA. CORRIENTE</t>
        </is>
      </c>
      <c r="I42" t="inlineStr">
        <is>
          <t>MT_R13_CTA. CORRIENTE PERSONAS_CORE</t>
        </is>
      </c>
      <c r="K42" t="n">
        <v>41</v>
      </c>
      <c r="M42" s="71" t="n">
        <v>47149</v>
      </c>
      <c r="N42" s="71" t="n">
        <v>47149</v>
      </c>
      <c r="O42" s="71" t="n">
        <v>47149</v>
      </c>
      <c r="P42" t="n">
        <v>6096270397.059248</v>
      </c>
      <c r="V42" t="n">
        <v>1</v>
      </c>
      <c r="W42" t="inlineStr">
        <is>
          <t>BALANCE TASAS</t>
        </is>
      </c>
      <c r="Y42" t="inlineStr">
        <is>
          <t>BALANCE TASAS</t>
        </is>
      </c>
      <c r="Z42" t="inlineStr">
        <is>
          <t>HTM</t>
        </is>
      </c>
      <c r="AA42" t="n">
        <v>1</v>
      </c>
    </row>
    <row r="43">
      <c r="A43" s="71" t="n">
        <v>45923</v>
      </c>
      <c r="B43" t="n">
        <v>1</v>
      </c>
      <c r="D43" t="inlineStr">
        <is>
          <t>PAS</t>
        </is>
      </c>
      <c r="E43" t="inlineStr">
        <is>
          <t>CLP</t>
        </is>
      </c>
      <c r="F43" t="inlineStr">
        <is>
          <t>CLP</t>
        </is>
      </c>
      <c r="H43" t="inlineStr">
        <is>
          <t>MT_R13_CTA. CORRIENTE</t>
        </is>
      </c>
      <c r="I43" t="inlineStr">
        <is>
          <t>MT_R13_CTA. CORRIENTE PERSONAS_CORE</t>
        </is>
      </c>
      <c r="K43" t="n">
        <v>42</v>
      </c>
      <c r="M43" s="71" t="n">
        <v>47177</v>
      </c>
      <c r="N43" s="71" t="n">
        <v>47177</v>
      </c>
      <c r="O43" s="71" t="n">
        <v>47177</v>
      </c>
      <c r="P43" t="n">
        <v>6037625560.440721</v>
      </c>
      <c r="V43" t="n">
        <v>1</v>
      </c>
      <c r="W43" t="inlineStr">
        <is>
          <t>BALANCE TASAS</t>
        </is>
      </c>
      <c r="Y43" t="inlineStr">
        <is>
          <t>BALANCE TASAS</t>
        </is>
      </c>
      <c r="Z43" t="inlineStr">
        <is>
          <t>HTM</t>
        </is>
      </c>
      <c r="AA43" t="n">
        <v>1</v>
      </c>
    </row>
    <row r="44">
      <c r="A44" s="71" t="n">
        <v>45923</v>
      </c>
      <c r="B44" t="n">
        <v>1</v>
      </c>
      <c r="D44" t="inlineStr">
        <is>
          <t>PAS</t>
        </is>
      </c>
      <c r="E44" t="inlineStr">
        <is>
          <t>CLP</t>
        </is>
      </c>
      <c r="F44" t="inlineStr">
        <is>
          <t>CLP</t>
        </is>
      </c>
      <c r="H44" t="inlineStr">
        <is>
          <t>MT_R13_CTA. CORRIENTE</t>
        </is>
      </c>
      <c r="I44" t="inlineStr">
        <is>
          <t>MT_R13_CTA. CORRIENTE PERSONAS_CORE</t>
        </is>
      </c>
      <c r="K44" t="n">
        <v>43</v>
      </c>
      <c r="M44" s="71" t="n">
        <v>47208</v>
      </c>
      <c r="N44" s="71" t="n">
        <v>47208</v>
      </c>
      <c r="O44" s="71" t="n">
        <v>47208</v>
      </c>
      <c r="P44" t="n">
        <v>5978980723.822194</v>
      </c>
      <c r="V44" t="n">
        <v>1</v>
      </c>
      <c r="W44" t="inlineStr">
        <is>
          <t>BALANCE TASAS</t>
        </is>
      </c>
      <c r="Y44" t="inlineStr">
        <is>
          <t>BALANCE TASAS</t>
        </is>
      </c>
      <c r="Z44" t="inlineStr">
        <is>
          <t>HTM</t>
        </is>
      </c>
      <c r="AA44" t="n">
        <v>1</v>
      </c>
    </row>
    <row r="45">
      <c r="A45" s="71" t="n">
        <v>45923</v>
      </c>
      <c r="B45" t="n">
        <v>1</v>
      </c>
      <c r="D45" t="inlineStr">
        <is>
          <t>PAS</t>
        </is>
      </c>
      <c r="E45" t="inlineStr">
        <is>
          <t>CLP</t>
        </is>
      </c>
      <c r="F45" t="inlineStr">
        <is>
          <t>CLP</t>
        </is>
      </c>
      <c r="H45" t="inlineStr">
        <is>
          <t>MT_R13_CTA. CORRIENTE</t>
        </is>
      </c>
      <c r="I45" t="inlineStr">
        <is>
          <t>MT_R13_CTA. CORRIENTE PERSONAS_CORE</t>
        </is>
      </c>
      <c r="K45" t="n">
        <v>44</v>
      </c>
      <c r="M45" s="71" t="n">
        <v>47238</v>
      </c>
      <c r="N45" s="71" t="n">
        <v>47238</v>
      </c>
      <c r="O45" s="71" t="n">
        <v>47238</v>
      </c>
      <c r="P45" t="n">
        <v>5921266757.626184</v>
      </c>
      <c r="V45" t="n">
        <v>1</v>
      </c>
      <c r="W45" t="inlineStr">
        <is>
          <t>BALANCE TASAS</t>
        </is>
      </c>
      <c r="Y45" t="inlineStr">
        <is>
          <t>BALANCE TASAS</t>
        </is>
      </c>
      <c r="Z45" t="inlineStr">
        <is>
          <t>HTM</t>
        </is>
      </c>
      <c r="AA45" t="n">
        <v>1</v>
      </c>
    </row>
    <row r="46">
      <c r="A46" s="71" t="n">
        <v>45923</v>
      </c>
      <c r="B46" t="n">
        <v>1</v>
      </c>
      <c r="D46" t="inlineStr">
        <is>
          <t>PAS</t>
        </is>
      </c>
      <c r="E46" t="inlineStr">
        <is>
          <t>CLP</t>
        </is>
      </c>
      <c r="F46" t="inlineStr">
        <is>
          <t>CLP</t>
        </is>
      </c>
      <c r="H46" t="inlineStr">
        <is>
          <t>MT_R13_CTA. CORRIENTE</t>
        </is>
      </c>
      <c r="I46" t="inlineStr">
        <is>
          <t>MT_R13_CTA. CORRIENTE PERSONAS_CORE</t>
        </is>
      </c>
      <c r="K46" t="n">
        <v>45</v>
      </c>
      <c r="M46" s="71" t="n">
        <v>47269</v>
      </c>
      <c r="N46" s="71" t="n">
        <v>47269</v>
      </c>
      <c r="O46" s="71" t="n">
        <v>47269</v>
      </c>
      <c r="P46" t="n">
        <v>5864483661.85269</v>
      </c>
      <c r="V46" t="n">
        <v>1</v>
      </c>
      <c r="W46" t="inlineStr">
        <is>
          <t>BALANCE TASAS</t>
        </is>
      </c>
      <c r="Y46" t="inlineStr">
        <is>
          <t>BALANCE TASAS</t>
        </is>
      </c>
      <c r="Z46" t="inlineStr">
        <is>
          <t>HTM</t>
        </is>
      </c>
      <c r="AA46" t="n">
        <v>1</v>
      </c>
    </row>
    <row r="47">
      <c r="A47" s="71" t="n">
        <v>45923</v>
      </c>
      <c r="B47" t="n">
        <v>1</v>
      </c>
      <c r="D47" t="inlineStr">
        <is>
          <t>PAS</t>
        </is>
      </c>
      <c r="E47" t="inlineStr">
        <is>
          <t>CLP</t>
        </is>
      </c>
      <c r="F47" t="inlineStr">
        <is>
          <t>CLP</t>
        </is>
      </c>
      <c r="H47" t="inlineStr">
        <is>
          <t>MT_R13_CTA. CORRIENTE</t>
        </is>
      </c>
      <c r="I47" t="inlineStr">
        <is>
          <t>MT_R13_CTA. CORRIENTE PERSONAS_CORE</t>
        </is>
      </c>
      <c r="K47" t="n">
        <v>46</v>
      </c>
      <c r="M47" s="71" t="n">
        <v>47299</v>
      </c>
      <c r="N47" s="71" t="n">
        <v>47299</v>
      </c>
      <c r="O47" s="71" t="n">
        <v>47299</v>
      </c>
      <c r="P47" t="n">
        <v>5807700566.079195</v>
      </c>
      <c r="V47" t="n">
        <v>1</v>
      </c>
      <c r="W47" t="inlineStr">
        <is>
          <t>BALANCE TASAS</t>
        </is>
      </c>
      <c r="Y47" t="inlineStr">
        <is>
          <t>BALANCE TASAS</t>
        </is>
      </c>
      <c r="Z47" t="inlineStr">
        <is>
          <t>HTM</t>
        </is>
      </c>
      <c r="AA47" t="n">
        <v>1</v>
      </c>
    </row>
    <row r="48">
      <c r="A48" s="71" t="n">
        <v>45923</v>
      </c>
      <c r="B48" t="n">
        <v>1</v>
      </c>
      <c r="D48" t="inlineStr">
        <is>
          <t>PAS</t>
        </is>
      </c>
      <c r="E48" t="inlineStr">
        <is>
          <t>CLP</t>
        </is>
      </c>
      <c r="F48" t="inlineStr">
        <is>
          <t>CLP</t>
        </is>
      </c>
      <c r="H48" t="inlineStr">
        <is>
          <t>MT_R13_CTA. CORRIENTE</t>
        </is>
      </c>
      <c r="I48" t="inlineStr">
        <is>
          <t>MT_R13_CTA. CORRIENTE PERSONAS_CORE</t>
        </is>
      </c>
      <c r="K48" t="n">
        <v>47</v>
      </c>
      <c r="M48" s="71" t="n">
        <v>47330</v>
      </c>
      <c r="N48" s="71" t="n">
        <v>47330</v>
      </c>
      <c r="O48" s="71" t="n">
        <v>47330</v>
      </c>
      <c r="P48" t="n">
        <v>5751848340.728217</v>
      </c>
      <c r="V48" t="n">
        <v>1</v>
      </c>
      <c r="W48" t="inlineStr">
        <is>
          <t>BALANCE TASAS</t>
        </is>
      </c>
      <c r="Y48" t="inlineStr">
        <is>
          <t>BALANCE TASAS</t>
        </is>
      </c>
      <c r="Z48" t="inlineStr">
        <is>
          <t>HTM</t>
        </is>
      </c>
      <c r="AA48" t="n">
        <v>1</v>
      </c>
    </row>
    <row r="49">
      <c r="A49" s="71" t="n">
        <v>45923</v>
      </c>
      <c r="B49" t="n">
        <v>1</v>
      </c>
      <c r="D49" t="inlineStr">
        <is>
          <t>PAS</t>
        </is>
      </c>
      <c r="E49" t="inlineStr">
        <is>
          <t>CLP</t>
        </is>
      </c>
      <c r="F49" t="inlineStr">
        <is>
          <t>CLP</t>
        </is>
      </c>
      <c r="H49" t="inlineStr">
        <is>
          <t>MT_R13_CTA. CORRIENTE</t>
        </is>
      </c>
      <c r="I49" t="inlineStr">
        <is>
          <t>MT_R13_CTA. CORRIENTE PERSONAS_CORE</t>
        </is>
      </c>
      <c r="K49" t="n">
        <v>48</v>
      </c>
      <c r="M49" s="71" t="n">
        <v>47361</v>
      </c>
      <c r="N49" s="71" t="n">
        <v>47361</v>
      </c>
      <c r="O49" s="71" t="n">
        <v>47361</v>
      </c>
      <c r="P49" t="n">
        <v>5695996115.377239</v>
      </c>
      <c r="V49" t="n">
        <v>1</v>
      </c>
      <c r="W49" t="inlineStr">
        <is>
          <t>BALANCE TASAS</t>
        </is>
      </c>
      <c r="Y49" t="inlineStr">
        <is>
          <t>BALANCE TASAS</t>
        </is>
      </c>
      <c r="Z49" t="inlineStr">
        <is>
          <t>HTM</t>
        </is>
      </c>
      <c r="AA49" t="n">
        <v>1</v>
      </c>
    </row>
    <row r="50">
      <c r="A50" s="71" t="n">
        <v>45923</v>
      </c>
      <c r="B50" t="n">
        <v>1</v>
      </c>
      <c r="D50" t="inlineStr">
        <is>
          <t>PAS</t>
        </is>
      </c>
      <c r="E50" t="inlineStr">
        <is>
          <t>CLP</t>
        </is>
      </c>
      <c r="F50" t="inlineStr">
        <is>
          <t>CLP</t>
        </is>
      </c>
      <c r="H50" t="inlineStr">
        <is>
          <t>MT_R13_CTA. CORRIENTE</t>
        </is>
      </c>
      <c r="I50" t="inlineStr">
        <is>
          <t>MT_R13_CTA. CORRIENTE PERSONAS_CORE</t>
        </is>
      </c>
      <c r="K50" t="n">
        <v>49</v>
      </c>
      <c r="M50" s="71" t="n">
        <v>47391</v>
      </c>
      <c r="N50" s="71" t="n">
        <v>47391</v>
      </c>
      <c r="O50" s="71" t="n">
        <v>47391</v>
      </c>
      <c r="P50" t="n">
        <v>5641074760.448778</v>
      </c>
      <c r="V50" t="n">
        <v>1</v>
      </c>
      <c r="W50" t="inlineStr">
        <is>
          <t>BALANCE TASAS</t>
        </is>
      </c>
      <c r="Y50" t="inlineStr">
        <is>
          <t>BALANCE TASAS</t>
        </is>
      </c>
      <c r="Z50" t="inlineStr">
        <is>
          <t>HTM</t>
        </is>
      </c>
      <c r="AA50" t="n">
        <v>1</v>
      </c>
    </row>
    <row r="51">
      <c r="A51" s="71" t="n">
        <v>45923</v>
      </c>
      <c r="B51" t="n">
        <v>1</v>
      </c>
      <c r="D51" t="inlineStr">
        <is>
          <t>PAS</t>
        </is>
      </c>
      <c r="E51" t="inlineStr">
        <is>
          <t>CLP</t>
        </is>
      </c>
      <c r="F51" t="inlineStr">
        <is>
          <t>CLP</t>
        </is>
      </c>
      <c r="H51" t="inlineStr">
        <is>
          <t>MT_R13_CTA. CORRIENTE</t>
        </is>
      </c>
      <c r="I51" t="inlineStr">
        <is>
          <t>MT_R13_CTA. CORRIENTE PERSONAS_CORE</t>
        </is>
      </c>
      <c r="K51" t="n">
        <v>50</v>
      </c>
      <c r="M51" s="71" t="n">
        <v>47422</v>
      </c>
      <c r="N51" s="71" t="n">
        <v>47422</v>
      </c>
      <c r="O51" s="71" t="n">
        <v>47422</v>
      </c>
      <c r="P51" t="n">
        <v>5586153405.520316</v>
      </c>
      <c r="V51" t="n">
        <v>1</v>
      </c>
      <c r="W51" t="inlineStr">
        <is>
          <t>BALANCE TASAS</t>
        </is>
      </c>
      <c r="Y51" t="inlineStr">
        <is>
          <t>BALANCE TASAS</t>
        </is>
      </c>
      <c r="Z51" t="inlineStr">
        <is>
          <t>HTM</t>
        </is>
      </c>
      <c r="AA51" t="n">
        <v>1</v>
      </c>
    </row>
    <row r="52">
      <c r="A52" s="71" t="n">
        <v>45923</v>
      </c>
      <c r="B52" t="n">
        <v>1</v>
      </c>
      <c r="D52" t="inlineStr">
        <is>
          <t>PAS</t>
        </is>
      </c>
      <c r="E52" t="inlineStr">
        <is>
          <t>CLP</t>
        </is>
      </c>
      <c r="F52" t="inlineStr">
        <is>
          <t>CLP</t>
        </is>
      </c>
      <c r="H52" t="inlineStr">
        <is>
          <t>MT_R13_CTA. CORRIENTE</t>
        </is>
      </c>
      <c r="I52" t="inlineStr">
        <is>
          <t>MT_R13_CTA. CORRIENTE PERSONAS_CORE</t>
        </is>
      </c>
      <c r="K52" t="n">
        <v>51</v>
      </c>
      <c r="M52" s="71" t="n">
        <v>47452</v>
      </c>
      <c r="N52" s="71" t="n">
        <v>47452</v>
      </c>
      <c r="O52" s="71" t="n">
        <v>47452</v>
      </c>
      <c r="P52" t="n">
        <v>5532162921.014371</v>
      </c>
      <c r="V52" t="n">
        <v>1</v>
      </c>
      <c r="W52" t="inlineStr">
        <is>
          <t>BALANCE TASAS</t>
        </is>
      </c>
      <c r="Y52" t="inlineStr">
        <is>
          <t>BALANCE TASAS</t>
        </is>
      </c>
      <c r="Z52" t="inlineStr">
        <is>
          <t>HTM</t>
        </is>
      </c>
      <c r="AA52" t="n">
        <v>1</v>
      </c>
    </row>
    <row r="53">
      <c r="A53" s="71" t="n">
        <v>45923</v>
      </c>
      <c r="B53" t="n">
        <v>1</v>
      </c>
      <c r="D53" t="inlineStr">
        <is>
          <t>PAS</t>
        </is>
      </c>
      <c r="E53" t="inlineStr">
        <is>
          <t>CLP</t>
        </is>
      </c>
      <c r="F53" t="inlineStr">
        <is>
          <t>CLP</t>
        </is>
      </c>
      <c r="H53" t="inlineStr">
        <is>
          <t>MT_R13_CTA. CORRIENTE</t>
        </is>
      </c>
      <c r="I53" t="inlineStr">
        <is>
          <t>MT_R13_CTA. CORRIENTE PERSONAS_CORE</t>
        </is>
      </c>
      <c r="K53" t="n">
        <v>52</v>
      </c>
      <c r="M53" s="71" t="n">
        <v>47483</v>
      </c>
      <c r="N53" s="71" t="n">
        <v>47483</v>
      </c>
      <c r="O53" s="71" t="n">
        <v>47483</v>
      </c>
      <c r="P53" t="n">
        <v>5479103306.930942</v>
      </c>
      <c r="V53" t="n">
        <v>1</v>
      </c>
      <c r="W53" t="inlineStr">
        <is>
          <t>BALANCE TASAS</t>
        </is>
      </c>
      <c r="Y53" t="inlineStr">
        <is>
          <t>BALANCE TASAS</t>
        </is>
      </c>
      <c r="Z53" t="inlineStr">
        <is>
          <t>HTM</t>
        </is>
      </c>
      <c r="AA53" t="n">
        <v>1</v>
      </c>
    </row>
    <row r="54">
      <c r="A54" s="71" t="n">
        <v>45923</v>
      </c>
      <c r="B54" t="n">
        <v>1</v>
      </c>
      <c r="D54" t="inlineStr">
        <is>
          <t>PAS</t>
        </is>
      </c>
      <c r="E54" t="inlineStr">
        <is>
          <t>CLP</t>
        </is>
      </c>
      <c r="F54" t="inlineStr">
        <is>
          <t>CLP</t>
        </is>
      </c>
      <c r="H54" t="inlineStr">
        <is>
          <t>MT_R13_CTA. CORRIENTE</t>
        </is>
      </c>
      <c r="I54" t="inlineStr">
        <is>
          <t>MT_R13_CTA. CORRIENTE PERSONAS_CORE</t>
        </is>
      </c>
      <c r="K54" t="n">
        <v>53</v>
      </c>
      <c r="M54" s="71" t="n">
        <v>47514</v>
      </c>
      <c r="N54" s="71" t="n">
        <v>47514</v>
      </c>
      <c r="O54" s="71" t="n">
        <v>47514</v>
      </c>
      <c r="P54" t="n">
        <v>5426043692.847512</v>
      </c>
      <c r="V54" t="n">
        <v>1</v>
      </c>
      <c r="W54" t="inlineStr">
        <is>
          <t>BALANCE TASAS</t>
        </is>
      </c>
      <c r="Y54" t="inlineStr">
        <is>
          <t>BALANCE TASAS</t>
        </is>
      </c>
      <c r="Z54" t="inlineStr">
        <is>
          <t>HTM</t>
        </is>
      </c>
      <c r="AA54" t="n">
        <v>1</v>
      </c>
    </row>
    <row r="55">
      <c r="A55" s="71" t="n">
        <v>45923</v>
      </c>
      <c r="B55" t="n">
        <v>1</v>
      </c>
      <c r="D55" t="inlineStr">
        <is>
          <t>PAS</t>
        </is>
      </c>
      <c r="E55" t="inlineStr">
        <is>
          <t>CLP</t>
        </is>
      </c>
      <c r="F55" t="inlineStr">
        <is>
          <t>CLP</t>
        </is>
      </c>
      <c r="H55" t="inlineStr">
        <is>
          <t>MT_R13_CTA. CORRIENTE</t>
        </is>
      </c>
      <c r="I55" t="inlineStr">
        <is>
          <t>MT_R13_CTA. CORRIENTE PERSONAS_CORE</t>
        </is>
      </c>
      <c r="K55" t="n">
        <v>54</v>
      </c>
      <c r="M55" s="71" t="n">
        <v>47542</v>
      </c>
      <c r="N55" s="71" t="n">
        <v>47542</v>
      </c>
      <c r="O55" s="71" t="n">
        <v>47542</v>
      </c>
      <c r="P55" t="n">
        <v>5373914949.1866</v>
      </c>
      <c r="V55" t="n">
        <v>1</v>
      </c>
      <c r="W55" t="inlineStr">
        <is>
          <t>BALANCE TASAS</t>
        </is>
      </c>
      <c r="Y55" t="inlineStr">
        <is>
          <t>BALANCE TASAS</t>
        </is>
      </c>
      <c r="Z55" t="inlineStr">
        <is>
          <t>HTM</t>
        </is>
      </c>
      <c r="AA55" t="n">
        <v>1</v>
      </c>
    </row>
    <row r="56">
      <c r="A56" s="71" t="n">
        <v>45923</v>
      </c>
      <c r="B56" t="n">
        <v>1</v>
      </c>
      <c r="D56" t="inlineStr">
        <is>
          <t>PAS</t>
        </is>
      </c>
      <c r="E56" t="inlineStr">
        <is>
          <t>CLP</t>
        </is>
      </c>
      <c r="F56" t="inlineStr">
        <is>
          <t>CLP</t>
        </is>
      </c>
      <c r="H56" t="inlineStr">
        <is>
          <t>MT_R13_CTA. CORRIENTE</t>
        </is>
      </c>
      <c r="I56" t="inlineStr">
        <is>
          <t>MT_R13_CTA. CORRIENTE PERSONAS_CORE</t>
        </is>
      </c>
      <c r="K56" t="n">
        <v>55</v>
      </c>
      <c r="M56" s="71" t="n">
        <v>47573</v>
      </c>
      <c r="N56" s="71" t="n">
        <v>47573</v>
      </c>
      <c r="O56" s="71" t="n">
        <v>47573</v>
      </c>
      <c r="P56" t="n">
        <v>5321786205.525686</v>
      </c>
      <c r="V56" t="n">
        <v>1</v>
      </c>
      <c r="W56" t="inlineStr">
        <is>
          <t>BALANCE TASAS</t>
        </is>
      </c>
      <c r="Y56" t="inlineStr">
        <is>
          <t>BALANCE TASAS</t>
        </is>
      </c>
      <c r="Z56" t="inlineStr">
        <is>
          <t>HTM</t>
        </is>
      </c>
      <c r="AA56" t="n">
        <v>1</v>
      </c>
    </row>
    <row r="57">
      <c r="A57" s="71" t="n">
        <v>45923</v>
      </c>
      <c r="B57" t="n">
        <v>1</v>
      </c>
      <c r="D57" t="inlineStr">
        <is>
          <t>PAS</t>
        </is>
      </c>
      <c r="E57" t="inlineStr">
        <is>
          <t>CLP</t>
        </is>
      </c>
      <c r="F57" t="inlineStr">
        <is>
          <t>CLP</t>
        </is>
      </c>
      <c r="H57" t="inlineStr">
        <is>
          <t>MT_R13_CTA. CORRIENTE</t>
        </is>
      </c>
      <c r="I57" t="inlineStr">
        <is>
          <t>MT_R13_CTA. CORRIENTE PERSONAS_CORE</t>
        </is>
      </c>
      <c r="K57" t="n">
        <v>56</v>
      </c>
      <c r="M57" s="71" t="n">
        <v>47603</v>
      </c>
      <c r="N57" s="71" t="n">
        <v>47603</v>
      </c>
      <c r="O57" s="71" t="n">
        <v>47603</v>
      </c>
      <c r="P57" t="n">
        <v>5270588332.287291</v>
      </c>
      <c r="V57" t="n">
        <v>1</v>
      </c>
      <c r="W57" t="inlineStr">
        <is>
          <t>BALANCE TASAS</t>
        </is>
      </c>
      <c r="Y57" t="inlineStr">
        <is>
          <t>BALANCE TASAS</t>
        </is>
      </c>
      <c r="Z57" t="inlineStr">
        <is>
          <t>HTM</t>
        </is>
      </c>
      <c r="AA57" t="n">
        <v>1</v>
      </c>
    </row>
    <row r="58">
      <c r="A58" s="71" t="n">
        <v>45923</v>
      </c>
      <c r="B58" t="n">
        <v>1</v>
      </c>
      <c r="D58" t="inlineStr">
        <is>
          <t>PAS</t>
        </is>
      </c>
      <c r="E58" t="inlineStr">
        <is>
          <t>CLP</t>
        </is>
      </c>
      <c r="F58" t="inlineStr">
        <is>
          <t>CLP</t>
        </is>
      </c>
      <c r="H58" t="inlineStr">
        <is>
          <t>MT_R13_CTA. CORRIENTE</t>
        </is>
      </c>
      <c r="I58" t="inlineStr">
        <is>
          <t>MT_R13_CTA. CORRIENTE PERSONAS_CORE</t>
        </is>
      </c>
      <c r="K58" t="n">
        <v>57</v>
      </c>
      <c r="M58" s="71" t="n">
        <v>47634</v>
      </c>
      <c r="N58" s="71" t="n">
        <v>47634</v>
      </c>
      <c r="O58" s="71" t="n">
        <v>47634</v>
      </c>
      <c r="P58" t="n">
        <v>5219390459.048894</v>
      </c>
      <c r="V58" t="n">
        <v>1</v>
      </c>
      <c r="W58" t="inlineStr">
        <is>
          <t>BALANCE TASAS</t>
        </is>
      </c>
      <c r="Y58" t="inlineStr">
        <is>
          <t>BALANCE TASAS</t>
        </is>
      </c>
      <c r="Z58" t="inlineStr">
        <is>
          <t>HTM</t>
        </is>
      </c>
      <c r="AA58" t="n">
        <v>1</v>
      </c>
    </row>
    <row r="59">
      <c r="A59" s="71" t="n">
        <v>45923</v>
      </c>
      <c r="B59" t="n">
        <v>1</v>
      </c>
      <c r="D59" t="inlineStr">
        <is>
          <t>PAS</t>
        </is>
      </c>
      <c r="E59" t="inlineStr">
        <is>
          <t>CLP</t>
        </is>
      </c>
      <c r="F59" t="inlineStr">
        <is>
          <t>CLP</t>
        </is>
      </c>
      <c r="H59" t="inlineStr">
        <is>
          <t>MT_R13_CTA. CORRIENTE</t>
        </is>
      </c>
      <c r="I59" t="inlineStr">
        <is>
          <t>MT_R13_CTA. CORRIENTE PERSONAS_CORE</t>
        </is>
      </c>
      <c r="K59" t="n">
        <v>58</v>
      </c>
      <c r="M59" s="71" t="n">
        <v>47664</v>
      </c>
      <c r="N59" s="71" t="n">
        <v>47664</v>
      </c>
      <c r="O59" s="71" t="n">
        <v>47664</v>
      </c>
      <c r="P59" t="n">
        <v>5169123456.233013</v>
      </c>
      <c r="V59" t="n">
        <v>1</v>
      </c>
      <c r="W59" t="inlineStr">
        <is>
          <t>BALANCE TASAS</t>
        </is>
      </c>
      <c r="Y59" t="inlineStr">
        <is>
          <t>BALANCE TASAS</t>
        </is>
      </c>
      <c r="Z59" t="inlineStr">
        <is>
          <t>HTM</t>
        </is>
      </c>
      <c r="AA59" t="n">
        <v>1</v>
      </c>
    </row>
    <row r="60">
      <c r="A60" s="71" t="n">
        <v>45923</v>
      </c>
      <c r="B60" t="n">
        <v>1</v>
      </c>
      <c r="D60" t="inlineStr">
        <is>
          <t>PAS</t>
        </is>
      </c>
      <c r="E60" t="inlineStr">
        <is>
          <t>CLP</t>
        </is>
      </c>
      <c r="F60" t="inlineStr">
        <is>
          <t>CLP</t>
        </is>
      </c>
      <c r="H60" t="inlineStr">
        <is>
          <t>MT_R13_CTA. CORRIENTE</t>
        </is>
      </c>
      <c r="I60" t="inlineStr">
        <is>
          <t>MT_R13_CTA. CORRIENTE PERSONAS_CORE</t>
        </is>
      </c>
      <c r="K60" t="n">
        <v>59</v>
      </c>
      <c r="M60" s="71" t="n">
        <v>47695</v>
      </c>
      <c r="N60" s="71" t="n">
        <v>47695</v>
      </c>
      <c r="O60" s="71" t="n">
        <v>47695</v>
      </c>
      <c r="P60" t="n">
        <v>5119787323.839649</v>
      </c>
      <c r="V60" t="n">
        <v>1</v>
      </c>
      <c r="W60" t="inlineStr">
        <is>
          <t>BALANCE TASAS</t>
        </is>
      </c>
      <c r="Y60" t="inlineStr">
        <is>
          <t>BALANCE TASAS</t>
        </is>
      </c>
      <c r="Z60" t="inlineStr">
        <is>
          <t>HTM</t>
        </is>
      </c>
      <c r="AA60" t="n">
        <v>1</v>
      </c>
    </row>
    <row r="61">
      <c r="A61" s="71" t="n">
        <v>45923</v>
      </c>
      <c r="B61" t="n">
        <v>1</v>
      </c>
      <c r="D61" t="inlineStr">
        <is>
          <t>PAS</t>
        </is>
      </c>
      <c r="E61" t="inlineStr">
        <is>
          <t>CLP</t>
        </is>
      </c>
      <c r="F61" t="inlineStr">
        <is>
          <t>CLP</t>
        </is>
      </c>
      <c r="H61" t="inlineStr">
        <is>
          <t>MT_R13_CTA. CORRIENTE</t>
        </is>
      </c>
      <c r="I61" t="inlineStr">
        <is>
          <t>MT_R13_CTA. CORRIENTE PERSONAS_CORE</t>
        </is>
      </c>
      <c r="K61" t="n">
        <v>60</v>
      </c>
      <c r="M61" s="71" t="n">
        <v>47726</v>
      </c>
      <c r="N61" s="71" t="n">
        <v>47726</v>
      </c>
      <c r="O61" s="71" t="n">
        <v>47726</v>
      </c>
      <c r="P61" t="n">
        <v>5070451191.446285</v>
      </c>
      <c r="V61" t="n">
        <v>1</v>
      </c>
      <c r="W61" t="inlineStr">
        <is>
          <t>BALANCE TASAS</t>
        </is>
      </c>
      <c r="Y61" t="inlineStr">
        <is>
          <t>BALANCE TASAS</t>
        </is>
      </c>
      <c r="Z61" t="inlineStr">
        <is>
          <t>HTM</t>
        </is>
      </c>
      <c r="AA61" t="n">
        <v>1</v>
      </c>
    </row>
    <row r="62">
      <c r="A62" s="71" t="n">
        <v>45923</v>
      </c>
      <c r="B62" t="n">
        <v>1</v>
      </c>
      <c r="D62" t="inlineStr">
        <is>
          <t>PAS</t>
        </is>
      </c>
      <c r="E62" t="inlineStr">
        <is>
          <t>CLP</t>
        </is>
      </c>
      <c r="F62" t="inlineStr">
        <is>
          <t>CLP</t>
        </is>
      </c>
      <c r="H62" t="inlineStr">
        <is>
          <t>MT_R13_CTA. CORRIENTE</t>
        </is>
      </c>
      <c r="I62" t="inlineStr">
        <is>
          <t>MT_R13_CTA. CORRIENTE PERSONAS_CORE</t>
        </is>
      </c>
      <c r="K62" t="n">
        <v>61</v>
      </c>
      <c r="M62" s="71" t="n">
        <v>47756</v>
      </c>
      <c r="N62" s="71" t="n">
        <v>47756</v>
      </c>
      <c r="O62" s="71" t="n">
        <v>47756</v>
      </c>
      <c r="P62" t="n">
        <v>5021115059.052922</v>
      </c>
      <c r="V62" t="n">
        <v>1</v>
      </c>
      <c r="W62" t="inlineStr">
        <is>
          <t>BALANCE TASAS</t>
        </is>
      </c>
      <c r="Y62" t="inlineStr">
        <is>
          <t>BALANCE TASAS</t>
        </is>
      </c>
      <c r="Z62" t="inlineStr">
        <is>
          <t>HTM</t>
        </is>
      </c>
      <c r="AA62" t="n">
        <v>1</v>
      </c>
    </row>
    <row r="63">
      <c r="A63" s="71" t="n">
        <v>45923</v>
      </c>
      <c r="B63" t="n">
        <v>1</v>
      </c>
      <c r="D63" t="inlineStr">
        <is>
          <t>PAS</t>
        </is>
      </c>
      <c r="E63" t="inlineStr">
        <is>
          <t>CLP</t>
        </is>
      </c>
      <c r="F63" t="inlineStr">
        <is>
          <t>CLP</t>
        </is>
      </c>
      <c r="H63" t="inlineStr">
        <is>
          <t>MT_R13_CTA. CORRIENTE</t>
        </is>
      </c>
      <c r="I63" t="inlineStr">
        <is>
          <t>MT_R13_CTA. CORRIENTE PERSONAS_CORE</t>
        </is>
      </c>
      <c r="K63" t="n">
        <v>62</v>
      </c>
      <c r="M63" s="71" t="n">
        <v>47787</v>
      </c>
      <c r="N63" s="71" t="n">
        <v>47787</v>
      </c>
      <c r="O63" s="71" t="n">
        <v>47787</v>
      </c>
      <c r="P63" t="n">
        <v>4972709797.082074</v>
      </c>
      <c r="V63" t="n">
        <v>1</v>
      </c>
      <c r="W63" t="inlineStr">
        <is>
          <t>BALANCE TASAS</t>
        </is>
      </c>
      <c r="Y63" t="inlineStr">
        <is>
          <t>BALANCE TASAS</t>
        </is>
      </c>
      <c r="Z63" t="inlineStr">
        <is>
          <t>HTM</t>
        </is>
      </c>
      <c r="AA63" t="n">
        <v>1</v>
      </c>
    </row>
    <row r="64">
      <c r="A64" s="71" t="n">
        <v>45923</v>
      </c>
      <c r="B64" t="n">
        <v>1</v>
      </c>
      <c r="D64" t="inlineStr">
        <is>
          <t>PAS</t>
        </is>
      </c>
      <c r="E64" t="inlineStr">
        <is>
          <t>CLP</t>
        </is>
      </c>
      <c r="F64" t="inlineStr">
        <is>
          <t>CLP</t>
        </is>
      </c>
      <c r="H64" t="inlineStr">
        <is>
          <t>MT_R13_CTA. CORRIENTE</t>
        </is>
      </c>
      <c r="I64" t="inlineStr">
        <is>
          <t>MT_R13_CTA. CORRIENTE PERSONAS_CORE</t>
        </is>
      </c>
      <c r="K64" t="n">
        <v>63</v>
      </c>
      <c r="M64" s="71" t="n">
        <v>47817</v>
      </c>
      <c r="N64" s="71" t="n">
        <v>47817</v>
      </c>
      <c r="O64" s="71" t="n">
        <v>47817</v>
      </c>
      <c r="P64" t="n">
        <v>4924304535.111227</v>
      </c>
      <c r="V64" t="n">
        <v>1</v>
      </c>
      <c r="W64" t="inlineStr">
        <is>
          <t>BALANCE TASAS</t>
        </is>
      </c>
      <c r="Y64" t="inlineStr">
        <is>
          <t>BALANCE TASAS</t>
        </is>
      </c>
      <c r="Z64" t="inlineStr">
        <is>
          <t>HTM</t>
        </is>
      </c>
      <c r="AA64" t="n">
        <v>1</v>
      </c>
    </row>
    <row r="65">
      <c r="A65" s="71" t="n">
        <v>45923</v>
      </c>
      <c r="B65" t="n">
        <v>1</v>
      </c>
      <c r="D65" t="inlineStr">
        <is>
          <t>PAS</t>
        </is>
      </c>
      <c r="E65" t="inlineStr">
        <is>
          <t>CLP</t>
        </is>
      </c>
      <c r="F65" t="inlineStr">
        <is>
          <t>CLP</t>
        </is>
      </c>
      <c r="H65" t="inlineStr">
        <is>
          <t>MT_R13_CTA. CORRIENTE</t>
        </is>
      </c>
      <c r="I65" t="inlineStr">
        <is>
          <t>MT_R13_CTA. CORRIENTE PERSONAS_CORE</t>
        </is>
      </c>
      <c r="K65" t="n">
        <v>64</v>
      </c>
      <c r="M65" s="71" t="n">
        <v>47848</v>
      </c>
      <c r="N65" s="71" t="n">
        <v>47848</v>
      </c>
      <c r="O65" s="71" t="n">
        <v>47848</v>
      </c>
      <c r="P65" t="n">
        <v>4876830143.562895</v>
      </c>
      <c r="V65" t="n">
        <v>1</v>
      </c>
      <c r="W65" t="inlineStr">
        <is>
          <t>BALANCE TASAS</t>
        </is>
      </c>
      <c r="Y65" t="inlineStr">
        <is>
          <t>BALANCE TASAS</t>
        </is>
      </c>
      <c r="Z65" t="inlineStr">
        <is>
          <t>HTM</t>
        </is>
      </c>
      <c r="AA65" t="n">
        <v>1</v>
      </c>
    </row>
    <row r="66">
      <c r="A66" s="71" t="n">
        <v>45923</v>
      </c>
      <c r="B66" t="n">
        <v>1</v>
      </c>
      <c r="D66" t="inlineStr">
        <is>
          <t>PAS</t>
        </is>
      </c>
      <c r="E66" t="inlineStr">
        <is>
          <t>CLP</t>
        </is>
      </c>
      <c r="F66" t="inlineStr">
        <is>
          <t>CLP</t>
        </is>
      </c>
      <c r="H66" t="inlineStr">
        <is>
          <t>MT_R13_CTA. CORRIENTE</t>
        </is>
      </c>
      <c r="I66" t="inlineStr">
        <is>
          <t>MT_R13_CTA. CORRIENTE PERSONAS_CORE</t>
        </is>
      </c>
      <c r="K66" t="n">
        <v>65</v>
      </c>
      <c r="M66" s="71" t="n">
        <v>47879</v>
      </c>
      <c r="N66" s="71" t="n">
        <v>47879</v>
      </c>
      <c r="O66" s="71" t="n">
        <v>47879</v>
      </c>
      <c r="P66" t="n">
        <v>4830286622.43708</v>
      </c>
      <c r="V66" t="n">
        <v>1</v>
      </c>
      <c r="W66" t="inlineStr">
        <is>
          <t>BALANCE TASAS</t>
        </is>
      </c>
      <c r="Y66" t="inlineStr">
        <is>
          <t>BALANCE TASAS</t>
        </is>
      </c>
      <c r="Z66" t="inlineStr">
        <is>
          <t>HTM</t>
        </is>
      </c>
      <c r="AA66" t="n">
        <v>1</v>
      </c>
    </row>
    <row r="67">
      <c r="A67" s="71" t="n">
        <v>45923</v>
      </c>
      <c r="B67" t="n">
        <v>1</v>
      </c>
      <c r="D67" t="inlineStr">
        <is>
          <t>PAS</t>
        </is>
      </c>
      <c r="E67" t="inlineStr">
        <is>
          <t>CLP</t>
        </is>
      </c>
      <c r="F67" t="inlineStr">
        <is>
          <t>CLP</t>
        </is>
      </c>
      <c r="H67" t="inlineStr">
        <is>
          <t>MT_R13_CTA. CORRIENTE</t>
        </is>
      </c>
      <c r="I67" t="inlineStr">
        <is>
          <t>MT_R13_CTA. CORRIENTE PERSONAS_CORE</t>
        </is>
      </c>
      <c r="K67" t="n">
        <v>66</v>
      </c>
      <c r="M67" s="71" t="n">
        <v>47907</v>
      </c>
      <c r="N67" s="71" t="n">
        <v>47907</v>
      </c>
      <c r="O67" s="71" t="n">
        <v>47907</v>
      </c>
      <c r="P67" t="n">
        <v>4783743101.311266</v>
      </c>
      <c r="V67" t="n">
        <v>1</v>
      </c>
      <c r="W67" t="inlineStr">
        <is>
          <t>BALANCE TASAS</t>
        </is>
      </c>
      <c r="Y67" t="inlineStr">
        <is>
          <t>BALANCE TASAS</t>
        </is>
      </c>
      <c r="Z67" t="inlineStr">
        <is>
          <t>HTM</t>
        </is>
      </c>
      <c r="AA67" t="n">
        <v>1</v>
      </c>
    </row>
    <row r="68">
      <c r="A68" s="71" t="n">
        <v>45923</v>
      </c>
      <c r="B68" t="n">
        <v>1</v>
      </c>
      <c r="D68" t="inlineStr">
        <is>
          <t>PAS</t>
        </is>
      </c>
      <c r="E68" t="inlineStr">
        <is>
          <t>CLP</t>
        </is>
      </c>
      <c r="F68" t="inlineStr">
        <is>
          <t>CLP</t>
        </is>
      </c>
      <c r="H68" t="inlineStr">
        <is>
          <t>MT_R13_CTA. CORRIENTE</t>
        </is>
      </c>
      <c r="I68" t="inlineStr">
        <is>
          <t>MT_R13_CTA. CORRIENTE PERSONAS_CORE</t>
        </is>
      </c>
      <c r="K68" t="n">
        <v>67</v>
      </c>
      <c r="M68" s="71" t="n">
        <v>47938</v>
      </c>
      <c r="N68" s="71" t="n">
        <v>47938</v>
      </c>
      <c r="O68" s="71" t="n">
        <v>47938</v>
      </c>
      <c r="P68" t="n">
        <v>4737199580.185451</v>
      </c>
      <c r="V68" t="n">
        <v>1</v>
      </c>
      <c r="W68" t="inlineStr">
        <is>
          <t>BALANCE TASAS</t>
        </is>
      </c>
      <c r="Y68" t="inlineStr">
        <is>
          <t>BALANCE TASAS</t>
        </is>
      </c>
      <c r="Z68" t="inlineStr">
        <is>
          <t>HTM</t>
        </is>
      </c>
      <c r="AA68" t="n">
        <v>1</v>
      </c>
    </row>
    <row r="69">
      <c r="A69" s="71" t="n">
        <v>45923</v>
      </c>
      <c r="B69" t="n">
        <v>1</v>
      </c>
      <c r="D69" t="inlineStr">
        <is>
          <t>PAS</t>
        </is>
      </c>
      <c r="E69" t="inlineStr">
        <is>
          <t>CLP</t>
        </is>
      </c>
      <c r="F69" t="inlineStr">
        <is>
          <t>CLP</t>
        </is>
      </c>
      <c r="H69" t="inlineStr">
        <is>
          <t>MT_R13_CTA. CORRIENTE</t>
        </is>
      </c>
      <c r="I69" t="inlineStr">
        <is>
          <t>MT_R13_CTA. CORRIENTE PERSONAS_CORE</t>
        </is>
      </c>
      <c r="K69" t="n">
        <v>68</v>
      </c>
      <c r="M69" s="71" t="n">
        <v>47968</v>
      </c>
      <c r="N69" s="71" t="n">
        <v>47968</v>
      </c>
      <c r="O69" s="71" t="n">
        <v>47968</v>
      </c>
      <c r="P69" t="n">
        <v>4691586929.482152</v>
      </c>
      <c r="V69" t="n">
        <v>1</v>
      </c>
      <c r="W69" t="inlineStr">
        <is>
          <t>BALANCE TASAS</t>
        </is>
      </c>
      <c r="Y69" t="inlineStr">
        <is>
          <t>BALANCE TASAS</t>
        </is>
      </c>
      <c r="Z69" t="inlineStr">
        <is>
          <t>HTM</t>
        </is>
      </c>
      <c r="AA69" t="n">
        <v>1</v>
      </c>
    </row>
    <row r="70">
      <c r="A70" s="71" t="n">
        <v>45923</v>
      </c>
      <c r="B70" t="n">
        <v>1</v>
      </c>
      <c r="D70" t="inlineStr">
        <is>
          <t>PAS</t>
        </is>
      </c>
      <c r="E70" t="inlineStr">
        <is>
          <t>CLP</t>
        </is>
      </c>
      <c r="F70" t="inlineStr">
        <is>
          <t>CLP</t>
        </is>
      </c>
      <c r="H70" t="inlineStr">
        <is>
          <t>MT_R13_CTA. CORRIENTE</t>
        </is>
      </c>
      <c r="I70" t="inlineStr">
        <is>
          <t>MT_R13_CTA. CORRIENTE PERSONAS_CORE</t>
        </is>
      </c>
      <c r="K70" t="n">
        <v>69</v>
      </c>
      <c r="M70" s="71" t="n">
        <v>47999</v>
      </c>
      <c r="N70" s="71" t="n">
        <v>47999</v>
      </c>
      <c r="O70" s="71" t="n">
        <v>47999</v>
      </c>
      <c r="P70" t="n">
        <v>4645974278.778852</v>
      </c>
      <c r="V70" t="n">
        <v>1</v>
      </c>
      <c r="W70" t="inlineStr">
        <is>
          <t>BALANCE TASAS</t>
        </is>
      </c>
      <c r="Y70" t="inlineStr">
        <is>
          <t>BALANCE TASAS</t>
        </is>
      </c>
      <c r="Z70" t="inlineStr">
        <is>
          <t>HTM</t>
        </is>
      </c>
      <c r="AA70" t="n">
        <v>1</v>
      </c>
    </row>
    <row r="71">
      <c r="A71" s="71" t="n">
        <v>45923</v>
      </c>
      <c r="B71" t="n">
        <v>1</v>
      </c>
      <c r="D71" t="inlineStr">
        <is>
          <t>PAS</t>
        </is>
      </c>
      <c r="E71" t="inlineStr">
        <is>
          <t>CLP</t>
        </is>
      </c>
      <c r="F71" t="inlineStr">
        <is>
          <t>CLP</t>
        </is>
      </c>
      <c r="H71" t="inlineStr">
        <is>
          <t>MT_R13_CTA. CORRIENTE</t>
        </is>
      </c>
      <c r="I71" t="inlineStr">
        <is>
          <t>MT_R13_CTA. CORRIENTE PERSONAS_CORE</t>
        </is>
      </c>
      <c r="K71" t="n">
        <v>70</v>
      </c>
      <c r="M71" s="71" t="n">
        <v>48029</v>
      </c>
      <c r="N71" s="71" t="n">
        <v>48029</v>
      </c>
      <c r="O71" s="71" t="n">
        <v>48029</v>
      </c>
      <c r="P71" t="n">
        <v>4601292498.498071</v>
      </c>
      <c r="V71" t="n">
        <v>1</v>
      </c>
      <c r="W71" t="inlineStr">
        <is>
          <t>BALANCE TASAS</t>
        </is>
      </c>
      <c r="Y71" t="inlineStr">
        <is>
          <t>BALANCE TASAS</t>
        </is>
      </c>
      <c r="Z71" t="inlineStr">
        <is>
          <t>HTM</t>
        </is>
      </c>
      <c r="AA71" t="n">
        <v>1</v>
      </c>
    </row>
    <row r="72">
      <c r="A72" s="71" t="n">
        <v>45923</v>
      </c>
      <c r="B72" t="n">
        <v>1</v>
      </c>
      <c r="D72" t="inlineStr">
        <is>
          <t>PAS</t>
        </is>
      </c>
      <c r="E72" t="inlineStr">
        <is>
          <t>CLP</t>
        </is>
      </c>
      <c r="F72" t="inlineStr">
        <is>
          <t>CLP</t>
        </is>
      </c>
      <c r="H72" t="inlineStr">
        <is>
          <t>MT_R13_CTA. CORRIENTE</t>
        </is>
      </c>
      <c r="I72" t="inlineStr">
        <is>
          <t>MT_R13_CTA. CORRIENTE PERSONAS_CORE</t>
        </is>
      </c>
      <c r="K72" t="n">
        <v>71</v>
      </c>
      <c r="M72" s="71" t="n">
        <v>48060</v>
      </c>
      <c r="N72" s="71" t="n">
        <v>48060</v>
      </c>
      <c r="O72" s="71" t="n">
        <v>48060</v>
      </c>
      <c r="P72" t="n">
        <v>4556610718.217288</v>
      </c>
      <c r="V72" t="n">
        <v>1</v>
      </c>
      <c r="W72" t="inlineStr">
        <is>
          <t>BALANCE TASAS</t>
        </is>
      </c>
      <c r="Y72" t="inlineStr">
        <is>
          <t>BALANCE TASAS</t>
        </is>
      </c>
      <c r="Z72" t="inlineStr">
        <is>
          <t>HTM</t>
        </is>
      </c>
      <c r="AA72" t="n">
        <v>1</v>
      </c>
    </row>
    <row r="73">
      <c r="A73" s="71" t="n">
        <v>45923</v>
      </c>
      <c r="B73" t="n">
        <v>1</v>
      </c>
      <c r="D73" t="inlineStr">
        <is>
          <t>PAS</t>
        </is>
      </c>
      <c r="E73" t="inlineStr">
        <is>
          <t>CLP</t>
        </is>
      </c>
      <c r="F73" t="inlineStr">
        <is>
          <t>CLP</t>
        </is>
      </c>
      <c r="H73" t="inlineStr">
        <is>
          <t>MT_R13_CTA. CORRIENTE</t>
        </is>
      </c>
      <c r="I73" t="inlineStr">
        <is>
          <t>MT_R13_CTA. CORRIENTE PERSONAS_CORE</t>
        </is>
      </c>
      <c r="K73" t="n">
        <v>72</v>
      </c>
      <c r="M73" s="71" t="n">
        <v>48091</v>
      </c>
      <c r="N73" s="71" t="n">
        <v>48091</v>
      </c>
      <c r="O73" s="71" t="n">
        <v>48091</v>
      </c>
      <c r="P73" t="n">
        <v>4512859808.359022</v>
      </c>
      <c r="V73" t="n">
        <v>1</v>
      </c>
      <c r="W73" t="inlineStr">
        <is>
          <t>BALANCE TASAS</t>
        </is>
      </c>
      <c r="Y73" t="inlineStr">
        <is>
          <t>BALANCE TASAS</t>
        </is>
      </c>
      <c r="Z73" t="inlineStr">
        <is>
          <t>HTM</t>
        </is>
      </c>
      <c r="AA73" t="n">
        <v>1</v>
      </c>
    </row>
    <row r="74">
      <c r="A74" s="71" t="n">
        <v>45923</v>
      </c>
      <c r="B74" t="n">
        <v>1</v>
      </c>
      <c r="D74" t="inlineStr">
        <is>
          <t>PAS</t>
        </is>
      </c>
      <c r="E74" t="inlineStr">
        <is>
          <t>CLP</t>
        </is>
      </c>
      <c r="F74" t="inlineStr">
        <is>
          <t>CLP</t>
        </is>
      </c>
      <c r="H74" t="inlineStr">
        <is>
          <t>MT_R13_CTA. CORRIENTE</t>
        </is>
      </c>
      <c r="I74" t="inlineStr">
        <is>
          <t>MT_R13_CTA. CORRIENTE PERSONAS_CORE</t>
        </is>
      </c>
      <c r="K74" t="n">
        <v>73</v>
      </c>
      <c r="M74" s="71" t="n">
        <v>48121</v>
      </c>
      <c r="N74" s="71" t="n">
        <v>48121</v>
      </c>
      <c r="O74" s="71" t="n">
        <v>48121</v>
      </c>
      <c r="P74" t="n">
        <v>4469108898.500755</v>
      </c>
      <c r="V74" t="n">
        <v>1</v>
      </c>
      <c r="W74" t="inlineStr">
        <is>
          <t>BALANCE TASAS</t>
        </is>
      </c>
      <c r="Y74" t="inlineStr">
        <is>
          <t>BALANCE TASAS</t>
        </is>
      </c>
      <c r="Z74" t="inlineStr">
        <is>
          <t>HTM</t>
        </is>
      </c>
      <c r="AA74" t="n">
        <v>1</v>
      </c>
    </row>
    <row r="75">
      <c r="A75" s="71" t="n">
        <v>45923</v>
      </c>
      <c r="B75" t="n">
        <v>1</v>
      </c>
      <c r="D75" t="inlineStr">
        <is>
          <t>PAS</t>
        </is>
      </c>
      <c r="E75" t="inlineStr">
        <is>
          <t>CLP</t>
        </is>
      </c>
      <c r="F75" t="inlineStr">
        <is>
          <t>CLP</t>
        </is>
      </c>
      <c r="H75" t="inlineStr">
        <is>
          <t>MT_R13_CTA. CORRIENTE</t>
        </is>
      </c>
      <c r="I75" t="inlineStr">
        <is>
          <t>MT_R13_CTA. CORRIENTE PERSONAS_CORE</t>
        </is>
      </c>
      <c r="K75" t="n">
        <v>74</v>
      </c>
      <c r="M75" s="71" t="n">
        <v>48152</v>
      </c>
      <c r="N75" s="71" t="n">
        <v>48152</v>
      </c>
      <c r="O75" s="71" t="n">
        <v>48152</v>
      </c>
      <c r="P75" t="n">
        <v>458530014463.9243</v>
      </c>
      <c r="V75" t="n">
        <v>1</v>
      </c>
      <c r="W75" t="inlineStr">
        <is>
          <t>BALANCE TASAS</t>
        </is>
      </c>
      <c r="Y75" t="inlineStr">
        <is>
          <t>BALANCE TASAS</t>
        </is>
      </c>
      <c r="Z75" t="inlineStr">
        <is>
          <t>HTM</t>
        </is>
      </c>
      <c r="AA75" t="n">
        <v>1</v>
      </c>
    </row>
    <row r="76">
      <c r="A76" s="71" t="n">
        <v>45923</v>
      </c>
      <c r="B76" t="n">
        <v>1</v>
      </c>
      <c r="D76" t="inlineStr">
        <is>
          <t>PAS</t>
        </is>
      </c>
      <c r="E76" t="inlineStr">
        <is>
          <t>CLP</t>
        </is>
      </c>
      <c r="F76" t="inlineStr">
        <is>
          <t>CLP</t>
        </is>
      </c>
      <c r="H76" t="inlineStr">
        <is>
          <t>MT_R13_CTA. CORRIENTE PERSONAS_CORE</t>
        </is>
      </c>
      <c r="I76" t="inlineStr">
        <is>
          <t>MT_R13_CTA. CORRIENTE PERSONAS_CORE</t>
        </is>
      </c>
      <c r="M76" s="71" t="n">
        <v>45924</v>
      </c>
      <c r="N76" s="71" t="n">
        <v>45924</v>
      </c>
      <c r="O76" s="71" t="n">
        <v>45924</v>
      </c>
      <c r="P76" t="n">
        <v>930870422516.2999</v>
      </c>
      <c r="V76" t="n">
        <v>1</v>
      </c>
      <c r="W76" t="inlineStr">
        <is>
          <t>BALANCE TASAS</t>
        </is>
      </c>
      <c r="Y76" t="inlineStr">
        <is>
          <t>BALANCE TASAS</t>
        </is>
      </c>
      <c r="Z76" t="inlineStr">
        <is>
          <t>HTM</t>
        </is>
      </c>
      <c r="AA76" t="n">
        <v>1</v>
      </c>
    </row>
    <row r="77">
      <c r="A77" s="71" t="n">
        <v>45923</v>
      </c>
      <c r="B77" t="n">
        <v>1</v>
      </c>
      <c r="D77" t="inlineStr">
        <is>
          <t>PAS</t>
        </is>
      </c>
      <c r="E77" t="inlineStr">
        <is>
          <t>CLP</t>
        </is>
      </c>
      <c r="F77" t="inlineStr">
        <is>
          <t>CLP</t>
        </is>
      </c>
      <c r="H77" t="inlineStr">
        <is>
          <t>MT_R13_CTA. CORRIENTE</t>
        </is>
      </c>
      <c r="I77" t="inlineStr">
        <is>
          <t>MT_R13_CTA. CORRIENTE PERSONAS_NONCORE</t>
        </is>
      </c>
      <c r="M77" s="71" t="n">
        <v>45924</v>
      </c>
      <c r="N77" s="71" t="n">
        <v>45924</v>
      </c>
      <c r="O77" s="71" t="n">
        <v>45924</v>
      </c>
      <c r="P77" t="n">
        <v>398944466792.7001</v>
      </c>
      <c r="V77" t="n">
        <v>1</v>
      </c>
      <c r="W77" t="inlineStr">
        <is>
          <t>BALANCE TASAS</t>
        </is>
      </c>
      <c r="Y77" t="inlineStr">
        <is>
          <t>BALANCE TASAS</t>
        </is>
      </c>
      <c r="Z77" t="inlineStr">
        <is>
          <t>HTM</t>
        </is>
      </c>
      <c r="AA77" t="n">
        <v>1</v>
      </c>
    </row>
    <row r="78">
      <c r="A78" s="71" t="n">
        <v>45923</v>
      </c>
      <c r="B78" t="n">
        <v>1</v>
      </c>
      <c r="D78" t="inlineStr">
        <is>
          <t>PAS</t>
        </is>
      </c>
      <c r="E78" t="inlineStr">
        <is>
          <t>CLP</t>
        </is>
      </c>
      <c r="F78" t="inlineStr">
        <is>
          <t>CLP</t>
        </is>
      </c>
      <c r="H78" t="inlineStr">
        <is>
          <t>MT_R13_CTA. CORRIENTE PERSONAS_NONCORE</t>
        </is>
      </c>
      <c r="I78" t="inlineStr">
        <is>
          <t>MT_R13_CTA. CORRIENTE PERSONAS_NONCORE</t>
        </is>
      </c>
      <c r="M78" s="71" t="n">
        <v>45924</v>
      </c>
      <c r="N78" s="71" t="n">
        <v>45924</v>
      </c>
      <c r="O78" s="71" t="n">
        <v>45924</v>
      </c>
      <c r="P78" t="n">
        <v>398944466792.7001</v>
      </c>
      <c r="V78" t="n">
        <v>1</v>
      </c>
      <c r="W78" t="inlineStr">
        <is>
          <t>BALANCE TASAS</t>
        </is>
      </c>
      <c r="Y78" t="inlineStr">
        <is>
          <t>BALANCE TASAS</t>
        </is>
      </c>
      <c r="Z78" t="inlineStr">
        <is>
          <t>HTM</t>
        </is>
      </c>
      <c r="AA78" t="n">
        <v>1</v>
      </c>
    </row>
    <row r="79">
      <c r="A79" s="71" t="n">
        <v>45923</v>
      </c>
      <c r="B79" t="n">
        <v>1</v>
      </c>
      <c r="D79" t="inlineStr">
        <is>
          <t>PAS</t>
        </is>
      </c>
      <c r="E79" t="inlineStr">
        <is>
          <t>CLP</t>
        </is>
      </c>
      <c r="F79" t="inlineStr">
        <is>
          <t>CLP</t>
        </is>
      </c>
      <c r="H79" t="inlineStr">
        <is>
          <t>MT_R13_CTA. VISTA</t>
        </is>
      </c>
      <c r="I79" t="inlineStr">
        <is>
          <t>MT_R13_CTA. VISTA_CORE</t>
        </is>
      </c>
      <c r="K79" t="n">
        <v>1</v>
      </c>
      <c r="M79" s="71" t="n">
        <v>45930</v>
      </c>
      <c r="N79" s="71" t="n">
        <v>45930</v>
      </c>
      <c r="O79" s="71" t="n">
        <v>45930</v>
      </c>
      <c r="P79" t="n">
        <v>1666844098.700172</v>
      </c>
      <c r="V79" t="n">
        <v>1</v>
      </c>
      <c r="W79" t="inlineStr">
        <is>
          <t>BALANCE TASAS</t>
        </is>
      </c>
      <c r="Y79" t="inlineStr">
        <is>
          <t>BALANCE TASAS</t>
        </is>
      </c>
      <c r="Z79" t="inlineStr">
        <is>
          <t>HTM</t>
        </is>
      </c>
      <c r="AA79" t="n">
        <v>1</v>
      </c>
    </row>
    <row r="80">
      <c r="A80" s="71" t="n">
        <v>45923</v>
      </c>
      <c r="B80" t="n">
        <v>1</v>
      </c>
      <c r="D80" t="inlineStr">
        <is>
          <t>PAS</t>
        </is>
      </c>
      <c r="E80" t="inlineStr">
        <is>
          <t>CLP</t>
        </is>
      </c>
      <c r="F80" t="inlineStr">
        <is>
          <t>CLP</t>
        </is>
      </c>
      <c r="H80" t="inlineStr">
        <is>
          <t>MT_R13_CTA. VISTA</t>
        </is>
      </c>
      <c r="I80" t="inlineStr">
        <is>
          <t>MT_R13_CTA. VISTA_CORE</t>
        </is>
      </c>
      <c r="K80" t="n">
        <v>2</v>
      </c>
      <c r="M80" s="71" t="n">
        <v>45961</v>
      </c>
      <c r="N80" s="71" t="n">
        <v>45961</v>
      </c>
      <c r="O80" s="71" t="n">
        <v>45961</v>
      </c>
      <c r="P80" t="n">
        <v>1641267037.107633</v>
      </c>
      <c r="V80" t="n">
        <v>1</v>
      </c>
      <c r="W80" t="inlineStr">
        <is>
          <t>BALANCE TASAS</t>
        </is>
      </c>
      <c r="Y80" t="inlineStr">
        <is>
          <t>BALANCE TASAS</t>
        </is>
      </c>
      <c r="Z80" t="inlineStr">
        <is>
          <t>HTM</t>
        </is>
      </c>
      <c r="AA80" t="n">
        <v>1</v>
      </c>
    </row>
    <row r="81">
      <c r="A81" s="71" t="n">
        <v>45923</v>
      </c>
      <c r="B81" t="n">
        <v>1</v>
      </c>
      <c r="D81" t="inlineStr">
        <is>
          <t>PAS</t>
        </is>
      </c>
      <c r="E81" t="inlineStr">
        <is>
          <t>CLP</t>
        </is>
      </c>
      <c r="F81" t="inlineStr">
        <is>
          <t>CLP</t>
        </is>
      </c>
      <c r="H81" t="inlineStr">
        <is>
          <t>MT_R13_CTA. VISTA</t>
        </is>
      </c>
      <c r="I81" t="inlineStr">
        <is>
          <t>MT_R13_CTA. VISTA_CORE</t>
        </is>
      </c>
      <c r="K81" t="n">
        <v>3</v>
      </c>
      <c r="M81" s="71" t="n">
        <v>45991</v>
      </c>
      <c r="N81" s="71" t="n">
        <v>45991</v>
      </c>
      <c r="O81" s="71" t="n">
        <v>45991</v>
      </c>
      <c r="P81" t="n">
        <v>1616015107.653983</v>
      </c>
      <c r="V81" t="n">
        <v>1</v>
      </c>
      <c r="W81" t="inlineStr">
        <is>
          <t>BALANCE TASAS</t>
        </is>
      </c>
      <c r="Y81" t="inlineStr">
        <is>
          <t>BALANCE TASAS</t>
        </is>
      </c>
      <c r="Z81" t="inlineStr">
        <is>
          <t>HTM</t>
        </is>
      </c>
      <c r="AA81" t="n">
        <v>1</v>
      </c>
    </row>
    <row r="82">
      <c r="A82" s="71" t="n">
        <v>45923</v>
      </c>
      <c r="B82" t="n">
        <v>1</v>
      </c>
      <c r="D82" t="inlineStr">
        <is>
          <t>PAS</t>
        </is>
      </c>
      <c r="E82" t="inlineStr">
        <is>
          <t>CLP</t>
        </is>
      </c>
      <c r="F82" t="inlineStr">
        <is>
          <t>CLP</t>
        </is>
      </c>
      <c r="H82" t="inlineStr">
        <is>
          <t>MT_R13_CTA. VISTA</t>
        </is>
      </c>
      <c r="I82" t="inlineStr">
        <is>
          <t>MT_R13_CTA. VISTA_CORE</t>
        </is>
      </c>
      <c r="K82" t="n">
        <v>4</v>
      </c>
      <c r="M82" s="71" t="n">
        <v>46022</v>
      </c>
      <c r="N82" s="71" t="n">
        <v>46022</v>
      </c>
      <c r="O82" s="71" t="n">
        <v>46022</v>
      </c>
      <c r="P82" t="n">
        <v>1591196687.718851</v>
      </c>
      <c r="V82" t="n">
        <v>1</v>
      </c>
      <c r="W82" t="inlineStr">
        <is>
          <t>BALANCE TASAS</t>
        </is>
      </c>
      <c r="Y82" t="inlineStr">
        <is>
          <t>BALANCE TASAS</t>
        </is>
      </c>
      <c r="Z82" t="inlineStr">
        <is>
          <t>HTM</t>
        </is>
      </c>
      <c r="AA82" t="n">
        <v>1</v>
      </c>
    </row>
    <row r="83">
      <c r="A83" s="71" t="n">
        <v>45923</v>
      </c>
      <c r="B83" t="n">
        <v>1</v>
      </c>
      <c r="D83" t="inlineStr">
        <is>
          <t>PAS</t>
        </is>
      </c>
      <c r="E83" t="inlineStr">
        <is>
          <t>CLP</t>
        </is>
      </c>
      <c r="F83" t="inlineStr">
        <is>
          <t>CLP</t>
        </is>
      </c>
      <c r="H83" t="inlineStr">
        <is>
          <t>MT_R13_CTA. VISTA</t>
        </is>
      </c>
      <c r="I83" t="inlineStr">
        <is>
          <t>MT_R13_CTA. VISTA_CORE</t>
        </is>
      </c>
      <c r="K83" t="n">
        <v>5</v>
      </c>
      <c r="M83" s="71" t="n">
        <v>46053</v>
      </c>
      <c r="N83" s="71" t="n">
        <v>46053</v>
      </c>
      <c r="O83" s="71" t="n">
        <v>46053</v>
      </c>
      <c r="P83" t="n">
        <v>1566703399.922606</v>
      </c>
      <c r="V83" t="n">
        <v>1</v>
      </c>
      <c r="W83" t="inlineStr">
        <is>
          <t>BALANCE TASAS</t>
        </is>
      </c>
      <c r="Y83" t="inlineStr">
        <is>
          <t>BALANCE TASAS</t>
        </is>
      </c>
      <c r="Z83" t="inlineStr">
        <is>
          <t>HTM</t>
        </is>
      </c>
      <c r="AA83" t="n">
        <v>1</v>
      </c>
    </row>
    <row r="84">
      <c r="A84" s="71" t="n">
        <v>45923</v>
      </c>
      <c r="B84" t="n">
        <v>1</v>
      </c>
      <c r="D84" t="inlineStr">
        <is>
          <t>PAS</t>
        </is>
      </c>
      <c r="E84" t="inlineStr">
        <is>
          <t>CLP</t>
        </is>
      </c>
      <c r="F84" t="inlineStr">
        <is>
          <t>CLP</t>
        </is>
      </c>
      <c r="H84" t="inlineStr">
        <is>
          <t>MT_R13_CTA. VISTA</t>
        </is>
      </c>
      <c r="I84" t="inlineStr">
        <is>
          <t>MT_R13_CTA. VISTA_CORE</t>
        </is>
      </c>
      <c r="K84" t="n">
        <v>6</v>
      </c>
      <c r="M84" s="71" t="n">
        <v>46081</v>
      </c>
      <c r="N84" s="71" t="n">
        <v>46081</v>
      </c>
      <c r="O84" s="71" t="n">
        <v>46081</v>
      </c>
      <c r="P84" t="n">
        <v>1542643621.64488</v>
      </c>
      <c r="V84" t="n">
        <v>1</v>
      </c>
      <c r="W84" t="inlineStr">
        <is>
          <t>BALANCE TASAS</t>
        </is>
      </c>
      <c r="Y84" t="inlineStr">
        <is>
          <t>BALANCE TASAS</t>
        </is>
      </c>
      <c r="Z84" t="inlineStr">
        <is>
          <t>HTM</t>
        </is>
      </c>
      <c r="AA84" t="n">
        <v>1</v>
      </c>
    </row>
    <row r="85">
      <c r="A85" s="71" t="n">
        <v>45923</v>
      </c>
      <c r="B85" t="n">
        <v>1</v>
      </c>
      <c r="D85" t="inlineStr">
        <is>
          <t>PAS</t>
        </is>
      </c>
      <c r="E85" t="inlineStr">
        <is>
          <t>CLP</t>
        </is>
      </c>
      <c r="F85" t="inlineStr">
        <is>
          <t>CLP</t>
        </is>
      </c>
      <c r="H85" t="inlineStr">
        <is>
          <t>MT_R13_CTA. VISTA</t>
        </is>
      </c>
      <c r="I85" t="inlineStr">
        <is>
          <t>MT_R13_CTA. VISTA_CORE</t>
        </is>
      </c>
      <c r="K85" t="n">
        <v>7</v>
      </c>
      <c r="M85" s="71" t="n">
        <v>46112</v>
      </c>
      <c r="N85" s="71" t="n">
        <v>46112</v>
      </c>
      <c r="O85" s="71" t="n">
        <v>46112</v>
      </c>
      <c r="P85" t="n">
        <v>1518908975.506041</v>
      </c>
      <c r="V85" t="n">
        <v>1</v>
      </c>
      <c r="W85" t="inlineStr">
        <is>
          <t>BALANCE TASAS</t>
        </is>
      </c>
      <c r="Y85" t="inlineStr">
        <is>
          <t>BALANCE TASAS</t>
        </is>
      </c>
      <c r="Z85" t="inlineStr">
        <is>
          <t>HTM</t>
        </is>
      </c>
      <c r="AA85" t="n">
        <v>1</v>
      </c>
    </row>
    <row r="86">
      <c r="A86" s="71" t="n">
        <v>45923</v>
      </c>
      <c r="B86" t="n">
        <v>1</v>
      </c>
      <c r="D86" t="inlineStr">
        <is>
          <t>PAS</t>
        </is>
      </c>
      <c r="E86" t="inlineStr">
        <is>
          <t>CLP</t>
        </is>
      </c>
      <c r="F86" t="inlineStr">
        <is>
          <t>CLP</t>
        </is>
      </c>
      <c r="H86" t="inlineStr">
        <is>
          <t>MT_R13_CTA. VISTA</t>
        </is>
      </c>
      <c r="I86" t="inlineStr">
        <is>
          <t>MT_R13_CTA. VISTA_CORE</t>
        </is>
      </c>
      <c r="K86" t="n">
        <v>8</v>
      </c>
      <c r="M86" s="71" t="n">
        <v>46142</v>
      </c>
      <c r="N86" s="71" t="n">
        <v>46142</v>
      </c>
      <c r="O86" s="71" t="n">
        <v>46142</v>
      </c>
      <c r="P86" t="n">
        <v>1495499461.506091</v>
      </c>
      <c r="V86" t="n">
        <v>1</v>
      </c>
      <c r="W86" t="inlineStr">
        <is>
          <t>BALANCE TASAS</t>
        </is>
      </c>
      <c r="Y86" t="inlineStr">
        <is>
          <t>BALANCE TASAS</t>
        </is>
      </c>
      <c r="Z86" t="inlineStr">
        <is>
          <t>HTM</t>
        </is>
      </c>
      <c r="AA86" t="n">
        <v>1</v>
      </c>
    </row>
    <row r="87">
      <c r="A87" s="71" t="n">
        <v>45923</v>
      </c>
      <c r="B87" t="n">
        <v>1</v>
      </c>
      <c r="D87" t="inlineStr">
        <is>
          <t>PAS</t>
        </is>
      </c>
      <c r="E87" t="inlineStr">
        <is>
          <t>CLP</t>
        </is>
      </c>
      <c r="F87" t="inlineStr">
        <is>
          <t>CLP</t>
        </is>
      </c>
      <c r="H87" t="inlineStr">
        <is>
          <t>MT_R13_CTA. VISTA</t>
        </is>
      </c>
      <c r="I87" t="inlineStr">
        <is>
          <t>MT_R13_CTA. VISTA_CORE</t>
        </is>
      </c>
      <c r="K87" t="n">
        <v>9</v>
      </c>
      <c r="M87" s="71" t="n">
        <v>46173</v>
      </c>
      <c r="N87" s="71" t="n">
        <v>46173</v>
      </c>
      <c r="O87" s="71" t="n">
        <v>46173</v>
      </c>
      <c r="P87" t="n">
        <v>1472523457.024658</v>
      </c>
      <c r="V87" t="n">
        <v>1</v>
      </c>
      <c r="W87" t="inlineStr">
        <is>
          <t>BALANCE TASAS</t>
        </is>
      </c>
      <c r="Y87" t="inlineStr">
        <is>
          <t>BALANCE TASAS</t>
        </is>
      </c>
      <c r="Z87" t="inlineStr">
        <is>
          <t>HTM</t>
        </is>
      </c>
      <c r="AA87" t="n">
        <v>1</v>
      </c>
    </row>
    <row r="88">
      <c r="A88" s="71" t="n">
        <v>45923</v>
      </c>
      <c r="B88" t="n">
        <v>1</v>
      </c>
      <c r="D88" t="inlineStr">
        <is>
          <t>PAS</t>
        </is>
      </c>
      <c r="E88" t="inlineStr">
        <is>
          <t>CLP</t>
        </is>
      </c>
      <c r="F88" t="inlineStr">
        <is>
          <t>CLP</t>
        </is>
      </c>
      <c r="H88" t="inlineStr">
        <is>
          <t>MT_R13_CTA. VISTA</t>
        </is>
      </c>
      <c r="I88" t="inlineStr">
        <is>
          <t>MT_R13_CTA. VISTA_CORE</t>
        </is>
      </c>
      <c r="K88" t="n">
        <v>10</v>
      </c>
      <c r="M88" s="71" t="n">
        <v>46203</v>
      </c>
      <c r="N88" s="71" t="n">
        <v>46203</v>
      </c>
      <c r="O88" s="71" t="n">
        <v>46203</v>
      </c>
      <c r="P88" t="n">
        <v>1449872584.682113</v>
      </c>
      <c r="V88" t="n">
        <v>1</v>
      </c>
      <c r="W88" t="inlineStr">
        <is>
          <t>BALANCE TASAS</t>
        </is>
      </c>
      <c r="Y88" t="inlineStr">
        <is>
          <t>BALANCE TASAS</t>
        </is>
      </c>
      <c r="Z88" t="inlineStr">
        <is>
          <t>HTM</t>
        </is>
      </c>
      <c r="AA88" t="n">
        <v>1</v>
      </c>
    </row>
    <row r="89">
      <c r="A89" s="71" t="n">
        <v>45923</v>
      </c>
      <c r="B89" t="n">
        <v>1</v>
      </c>
      <c r="D89" t="inlineStr">
        <is>
          <t>PAS</t>
        </is>
      </c>
      <c r="E89" t="inlineStr">
        <is>
          <t>CLP</t>
        </is>
      </c>
      <c r="F89" t="inlineStr">
        <is>
          <t>CLP</t>
        </is>
      </c>
      <c r="H89" t="inlineStr">
        <is>
          <t>MT_R13_CTA. VISTA</t>
        </is>
      </c>
      <c r="I89" t="inlineStr">
        <is>
          <t>MT_R13_CTA. VISTA_CORE</t>
        </is>
      </c>
      <c r="K89" t="n">
        <v>11</v>
      </c>
      <c r="M89" s="71" t="n">
        <v>46234</v>
      </c>
      <c r="N89" s="71" t="n">
        <v>46234</v>
      </c>
      <c r="O89" s="71" t="n">
        <v>46234</v>
      </c>
      <c r="P89" t="n">
        <v>1427546844.478457</v>
      </c>
      <c r="V89" t="n">
        <v>1</v>
      </c>
      <c r="W89" t="inlineStr">
        <is>
          <t>BALANCE TASAS</t>
        </is>
      </c>
      <c r="Y89" t="inlineStr">
        <is>
          <t>BALANCE TASAS</t>
        </is>
      </c>
      <c r="Z89" t="inlineStr">
        <is>
          <t>HTM</t>
        </is>
      </c>
      <c r="AA89" t="n">
        <v>1</v>
      </c>
    </row>
    <row r="90">
      <c r="A90" s="71" t="n">
        <v>45923</v>
      </c>
      <c r="B90" t="n">
        <v>1</v>
      </c>
      <c r="D90" t="inlineStr">
        <is>
          <t>PAS</t>
        </is>
      </c>
      <c r="E90" t="inlineStr">
        <is>
          <t>CLP</t>
        </is>
      </c>
      <c r="F90" t="inlineStr">
        <is>
          <t>CLP</t>
        </is>
      </c>
      <c r="H90" t="inlineStr">
        <is>
          <t>MT_R13_CTA. VISTA</t>
        </is>
      </c>
      <c r="I90" t="inlineStr">
        <is>
          <t>MT_R13_CTA. VISTA_CORE</t>
        </is>
      </c>
      <c r="K90" t="n">
        <v>12</v>
      </c>
      <c r="M90" s="71" t="n">
        <v>46265</v>
      </c>
      <c r="N90" s="71" t="n">
        <v>46265</v>
      </c>
      <c r="O90" s="71" t="n">
        <v>46265</v>
      </c>
      <c r="P90" t="n">
        <v>1405546236.413688</v>
      </c>
      <c r="V90" t="n">
        <v>1</v>
      </c>
      <c r="W90" t="inlineStr">
        <is>
          <t>BALANCE TASAS</t>
        </is>
      </c>
      <c r="Y90" t="inlineStr">
        <is>
          <t>BALANCE TASAS</t>
        </is>
      </c>
      <c r="Z90" t="inlineStr">
        <is>
          <t>HTM</t>
        </is>
      </c>
      <c r="AA90" t="n">
        <v>1</v>
      </c>
    </row>
    <row r="91">
      <c r="A91" s="71" t="n">
        <v>45923</v>
      </c>
      <c r="B91" t="n">
        <v>1</v>
      </c>
      <c r="D91" t="inlineStr">
        <is>
          <t>PAS</t>
        </is>
      </c>
      <c r="E91" t="inlineStr">
        <is>
          <t>CLP</t>
        </is>
      </c>
      <c r="F91" t="inlineStr">
        <is>
          <t>CLP</t>
        </is>
      </c>
      <c r="H91" t="inlineStr">
        <is>
          <t>MT_R13_CTA. VISTA</t>
        </is>
      </c>
      <c r="I91" t="inlineStr">
        <is>
          <t>MT_R13_CTA. VISTA_CORE</t>
        </is>
      </c>
      <c r="K91" t="n">
        <v>13</v>
      </c>
      <c r="M91" s="71" t="n">
        <v>46295</v>
      </c>
      <c r="N91" s="71" t="n">
        <v>46295</v>
      </c>
      <c r="O91" s="71" t="n">
        <v>46295</v>
      </c>
      <c r="P91" t="n">
        <v>1383979137.867438</v>
      </c>
      <c r="V91" t="n">
        <v>1</v>
      </c>
      <c r="W91" t="inlineStr">
        <is>
          <t>BALANCE TASAS</t>
        </is>
      </c>
      <c r="Y91" t="inlineStr">
        <is>
          <t>BALANCE TASAS</t>
        </is>
      </c>
      <c r="Z91" t="inlineStr">
        <is>
          <t>HTM</t>
        </is>
      </c>
      <c r="AA91" t="n">
        <v>1</v>
      </c>
    </row>
    <row r="92">
      <c r="A92" s="71" t="n">
        <v>45923</v>
      </c>
      <c r="B92" t="n">
        <v>1</v>
      </c>
      <c r="D92" t="inlineStr">
        <is>
          <t>PAS</t>
        </is>
      </c>
      <c r="E92" t="inlineStr">
        <is>
          <t>CLP</t>
        </is>
      </c>
      <c r="F92" t="inlineStr">
        <is>
          <t>CLP</t>
        </is>
      </c>
      <c r="H92" t="inlineStr">
        <is>
          <t>MT_R13_CTA. VISTA</t>
        </is>
      </c>
      <c r="I92" t="inlineStr">
        <is>
          <t>MT_R13_CTA. VISTA_CORE</t>
        </is>
      </c>
      <c r="K92" t="n">
        <v>14</v>
      </c>
      <c r="M92" s="71" t="n">
        <v>46326</v>
      </c>
      <c r="N92" s="71" t="n">
        <v>46326</v>
      </c>
      <c r="O92" s="71" t="n">
        <v>46326</v>
      </c>
      <c r="P92" t="n">
        <v>1362737171.460076</v>
      </c>
      <c r="V92" t="n">
        <v>1</v>
      </c>
      <c r="W92" t="inlineStr">
        <is>
          <t>BALANCE TASAS</t>
        </is>
      </c>
      <c r="Y92" t="inlineStr">
        <is>
          <t>BALANCE TASAS</t>
        </is>
      </c>
      <c r="Z92" t="inlineStr">
        <is>
          <t>HTM</t>
        </is>
      </c>
      <c r="AA92" t="n">
        <v>1</v>
      </c>
    </row>
    <row r="93">
      <c r="A93" s="71" t="n">
        <v>45923</v>
      </c>
      <c r="B93" t="n">
        <v>1</v>
      </c>
      <c r="D93" t="inlineStr">
        <is>
          <t>PAS</t>
        </is>
      </c>
      <c r="E93" t="inlineStr">
        <is>
          <t>CLP</t>
        </is>
      </c>
      <c r="F93" t="inlineStr">
        <is>
          <t>CLP</t>
        </is>
      </c>
      <c r="H93" t="inlineStr">
        <is>
          <t>MT_R13_CTA. VISTA</t>
        </is>
      </c>
      <c r="I93" t="inlineStr">
        <is>
          <t>MT_R13_CTA. VISTA_CORE</t>
        </is>
      </c>
      <c r="K93" t="n">
        <v>15</v>
      </c>
      <c r="M93" s="71" t="n">
        <v>46356</v>
      </c>
      <c r="N93" s="71" t="n">
        <v>46356</v>
      </c>
      <c r="O93" s="71" t="n">
        <v>46356</v>
      </c>
      <c r="P93" t="n">
        <v>1341711959.811972</v>
      </c>
      <c r="V93" t="n">
        <v>1</v>
      </c>
      <c r="W93" t="inlineStr">
        <is>
          <t>BALANCE TASAS</t>
        </is>
      </c>
      <c r="Y93" t="inlineStr">
        <is>
          <t>BALANCE TASAS</t>
        </is>
      </c>
      <c r="Z93" t="inlineStr">
        <is>
          <t>HTM</t>
        </is>
      </c>
      <c r="AA93" t="n">
        <v>1</v>
      </c>
    </row>
    <row r="94">
      <c r="A94" s="71" t="n">
        <v>45923</v>
      </c>
      <c r="B94" t="n">
        <v>1</v>
      </c>
      <c r="D94" t="inlineStr">
        <is>
          <t>PAS</t>
        </is>
      </c>
      <c r="E94" t="inlineStr">
        <is>
          <t>CLP</t>
        </is>
      </c>
      <c r="F94" t="inlineStr">
        <is>
          <t>CLP</t>
        </is>
      </c>
      <c r="H94" t="inlineStr">
        <is>
          <t>MT_R13_CTA. VISTA</t>
        </is>
      </c>
      <c r="I94" t="inlineStr">
        <is>
          <t>MT_R13_CTA. VISTA_CORE</t>
        </is>
      </c>
      <c r="K94" t="n">
        <v>16</v>
      </c>
      <c r="M94" s="71" t="n">
        <v>46387</v>
      </c>
      <c r="N94" s="71" t="n">
        <v>46387</v>
      </c>
      <c r="O94" s="71" t="n">
        <v>46387</v>
      </c>
      <c r="P94" t="n">
        <v>1321120257.682386</v>
      </c>
      <c r="V94" t="n">
        <v>1</v>
      </c>
      <c r="W94" t="inlineStr">
        <is>
          <t>BALANCE TASAS</t>
        </is>
      </c>
      <c r="Y94" t="inlineStr">
        <is>
          <t>BALANCE TASAS</t>
        </is>
      </c>
      <c r="Z94" t="inlineStr">
        <is>
          <t>HTM</t>
        </is>
      </c>
      <c r="AA94" t="n">
        <v>1</v>
      </c>
    </row>
    <row r="95">
      <c r="A95" s="71" t="n">
        <v>45923</v>
      </c>
      <c r="B95" t="n">
        <v>1</v>
      </c>
      <c r="D95" t="inlineStr">
        <is>
          <t>PAS</t>
        </is>
      </c>
      <c r="E95" t="inlineStr">
        <is>
          <t>CLP</t>
        </is>
      </c>
      <c r="F95" t="inlineStr">
        <is>
          <t>CLP</t>
        </is>
      </c>
      <c r="H95" t="inlineStr">
        <is>
          <t>MT_R13_CTA. VISTA</t>
        </is>
      </c>
      <c r="I95" t="inlineStr">
        <is>
          <t>MT_R13_CTA. VISTA_CORE</t>
        </is>
      </c>
      <c r="K95" t="n">
        <v>17</v>
      </c>
      <c r="M95" s="71" t="n">
        <v>46418</v>
      </c>
      <c r="N95" s="71" t="n">
        <v>46418</v>
      </c>
      <c r="O95" s="71" t="n">
        <v>46418</v>
      </c>
      <c r="P95" t="n">
        <v>1300745310.312059</v>
      </c>
      <c r="V95" t="n">
        <v>1</v>
      </c>
      <c r="W95" t="inlineStr">
        <is>
          <t>BALANCE TASAS</t>
        </is>
      </c>
      <c r="Y95" t="inlineStr">
        <is>
          <t>BALANCE TASAS</t>
        </is>
      </c>
      <c r="Z95" t="inlineStr">
        <is>
          <t>HTM</t>
        </is>
      </c>
      <c r="AA95" t="n">
        <v>1</v>
      </c>
    </row>
    <row r="96">
      <c r="A96" s="71" t="n">
        <v>45923</v>
      </c>
      <c r="B96" t="n">
        <v>1</v>
      </c>
      <c r="D96" t="inlineStr">
        <is>
          <t>PAS</t>
        </is>
      </c>
      <c r="E96" t="inlineStr">
        <is>
          <t>CLP</t>
        </is>
      </c>
      <c r="F96" t="inlineStr">
        <is>
          <t>CLP</t>
        </is>
      </c>
      <c r="H96" t="inlineStr">
        <is>
          <t>MT_R13_CTA. VISTA</t>
        </is>
      </c>
      <c r="I96" t="inlineStr">
        <is>
          <t>MT_R13_CTA. VISTA_CORE</t>
        </is>
      </c>
      <c r="K96" t="n">
        <v>18</v>
      </c>
      <c r="M96" s="71" t="n">
        <v>46446</v>
      </c>
      <c r="N96" s="71" t="n">
        <v>46446</v>
      </c>
      <c r="O96" s="71" t="n">
        <v>46446</v>
      </c>
      <c r="P96" t="n">
        <v>1280803872.460249</v>
      </c>
      <c r="V96" t="n">
        <v>1</v>
      </c>
      <c r="W96" t="inlineStr">
        <is>
          <t>BALANCE TASAS</t>
        </is>
      </c>
      <c r="Y96" t="inlineStr">
        <is>
          <t>BALANCE TASAS</t>
        </is>
      </c>
      <c r="Z96" t="inlineStr">
        <is>
          <t>HTM</t>
        </is>
      </c>
      <c r="AA96" t="n">
        <v>1</v>
      </c>
    </row>
    <row r="97">
      <c r="A97" s="71" t="n">
        <v>45923</v>
      </c>
      <c r="B97" t="n">
        <v>1</v>
      </c>
      <c r="D97" t="inlineStr">
        <is>
          <t>PAS</t>
        </is>
      </c>
      <c r="E97" t="inlineStr">
        <is>
          <t>CLP</t>
        </is>
      </c>
      <c r="F97" t="inlineStr">
        <is>
          <t>CLP</t>
        </is>
      </c>
      <c r="H97" t="inlineStr">
        <is>
          <t>MT_R13_CTA. VISTA</t>
        </is>
      </c>
      <c r="I97" t="inlineStr">
        <is>
          <t>MT_R13_CTA. VISTA_CORE</t>
        </is>
      </c>
      <c r="K97" t="n">
        <v>19</v>
      </c>
      <c r="M97" s="71" t="n">
        <v>46477</v>
      </c>
      <c r="N97" s="71" t="n">
        <v>46477</v>
      </c>
      <c r="O97" s="71" t="n">
        <v>46477</v>
      </c>
      <c r="P97" t="n">
        <v>1261079189.367698</v>
      </c>
      <c r="V97" t="n">
        <v>1</v>
      </c>
      <c r="W97" t="inlineStr">
        <is>
          <t>BALANCE TASAS</t>
        </is>
      </c>
      <c r="Y97" t="inlineStr">
        <is>
          <t>BALANCE TASAS</t>
        </is>
      </c>
      <c r="Z97" t="inlineStr">
        <is>
          <t>HTM</t>
        </is>
      </c>
      <c r="AA97" t="n">
        <v>1</v>
      </c>
    </row>
    <row r="98">
      <c r="A98" s="71" t="n">
        <v>45923</v>
      </c>
      <c r="B98" t="n">
        <v>1</v>
      </c>
      <c r="D98" t="inlineStr">
        <is>
          <t>PAS</t>
        </is>
      </c>
      <c r="E98" t="inlineStr">
        <is>
          <t>CLP</t>
        </is>
      </c>
      <c r="F98" t="inlineStr">
        <is>
          <t>CLP</t>
        </is>
      </c>
      <c r="H98" t="inlineStr">
        <is>
          <t>MT_R13_CTA. VISTA</t>
        </is>
      </c>
      <c r="I98" t="inlineStr">
        <is>
          <t>MT_R13_CTA. VISTA_CORE</t>
        </is>
      </c>
      <c r="K98" t="n">
        <v>20</v>
      </c>
      <c r="M98" s="71" t="n">
        <v>46507</v>
      </c>
      <c r="N98" s="71" t="n">
        <v>46507</v>
      </c>
      <c r="O98" s="71" t="n">
        <v>46507</v>
      </c>
      <c r="P98" t="n">
        <v>1241679638.414036</v>
      </c>
      <c r="V98" t="n">
        <v>1</v>
      </c>
      <c r="W98" t="inlineStr">
        <is>
          <t>BALANCE TASAS</t>
        </is>
      </c>
      <c r="Y98" t="inlineStr">
        <is>
          <t>BALANCE TASAS</t>
        </is>
      </c>
      <c r="Z98" t="inlineStr">
        <is>
          <t>HTM</t>
        </is>
      </c>
      <c r="AA98" t="n">
        <v>1</v>
      </c>
    </row>
    <row r="99">
      <c r="A99" s="71" t="n">
        <v>45923</v>
      </c>
      <c r="B99" t="n">
        <v>1</v>
      </c>
      <c r="D99" t="inlineStr">
        <is>
          <t>PAS</t>
        </is>
      </c>
      <c r="E99" t="inlineStr">
        <is>
          <t>CLP</t>
        </is>
      </c>
      <c r="F99" t="inlineStr">
        <is>
          <t>CLP</t>
        </is>
      </c>
      <c r="H99" t="inlineStr">
        <is>
          <t>MT_R13_CTA. VISTA</t>
        </is>
      </c>
      <c r="I99" t="inlineStr">
        <is>
          <t>MT_R13_CTA. VISTA_CORE</t>
        </is>
      </c>
      <c r="K99" t="n">
        <v>21</v>
      </c>
      <c r="M99" s="71" t="n">
        <v>46538</v>
      </c>
      <c r="N99" s="71" t="n">
        <v>46538</v>
      </c>
      <c r="O99" s="71" t="n">
        <v>46538</v>
      </c>
      <c r="P99" t="n">
        <v>1222605219.599261</v>
      </c>
      <c r="V99" t="n">
        <v>1</v>
      </c>
      <c r="W99" t="inlineStr">
        <is>
          <t>BALANCE TASAS</t>
        </is>
      </c>
      <c r="Y99" t="inlineStr">
        <is>
          <t>BALANCE TASAS</t>
        </is>
      </c>
      <c r="Z99" t="inlineStr">
        <is>
          <t>HTM</t>
        </is>
      </c>
      <c r="AA99" t="n">
        <v>1</v>
      </c>
    </row>
    <row r="100">
      <c r="A100" s="71" t="n">
        <v>45923</v>
      </c>
      <c r="B100" t="n">
        <v>1</v>
      </c>
      <c r="D100" t="inlineStr">
        <is>
          <t>PAS</t>
        </is>
      </c>
      <c r="E100" t="inlineStr">
        <is>
          <t>CLP</t>
        </is>
      </c>
      <c r="F100" t="inlineStr">
        <is>
          <t>CLP</t>
        </is>
      </c>
      <c r="H100" t="inlineStr">
        <is>
          <t>MT_R13_CTA. VISTA</t>
        </is>
      </c>
      <c r="I100" t="inlineStr">
        <is>
          <t>MT_R13_CTA. VISTA_CORE</t>
        </is>
      </c>
      <c r="K100" t="n">
        <v>22</v>
      </c>
      <c r="M100" s="71" t="n">
        <v>46568</v>
      </c>
      <c r="N100" s="71" t="n">
        <v>46568</v>
      </c>
      <c r="O100" s="71" t="n">
        <v>46568</v>
      </c>
      <c r="P100" t="n">
        <v>1203747555.543746</v>
      </c>
      <c r="V100" t="n">
        <v>1</v>
      </c>
      <c r="W100" t="inlineStr">
        <is>
          <t>BALANCE TASAS</t>
        </is>
      </c>
      <c r="Y100" t="inlineStr">
        <is>
          <t>BALANCE TASAS</t>
        </is>
      </c>
      <c r="Z100" t="inlineStr">
        <is>
          <t>HTM</t>
        </is>
      </c>
      <c r="AA100" t="n">
        <v>1</v>
      </c>
    </row>
    <row r="101">
      <c r="A101" s="71" t="n">
        <v>45923</v>
      </c>
      <c r="B101" t="n">
        <v>1</v>
      </c>
      <c r="D101" t="inlineStr">
        <is>
          <t>PAS</t>
        </is>
      </c>
      <c r="E101" t="inlineStr">
        <is>
          <t>CLP</t>
        </is>
      </c>
      <c r="F101" t="inlineStr">
        <is>
          <t>CLP</t>
        </is>
      </c>
      <c r="H101" t="inlineStr">
        <is>
          <t>MT_R13_CTA. VISTA</t>
        </is>
      </c>
      <c r="I101" t="inlineStr">
        <is>
          <t>MT_R13_CTA. VISTA_CORE</t>
        </is>
      </c>
      <c r="K101" t="n">
        <v>23</v>
      </c>
      <c r="M101" s="71" t="n">
        <v>46599</v>
      </c>
      <c r="N101" s="71" t="n">
        <v>46599</v>
      </c>
      <c r="O101" s="71" t="n">
        <v>46599</v>
      </c>
      <c r="P101" t="n">
        <v>1185215023.627118</v>
      </c>
      <c r="V101" t="n">
        <v>1</v>
      </c>
      <c r="W101" t="inlineStr">
        <is>
          <t>BALANCE TASAS</t>
        </is>
      </c>
      <c r="Y101" t="inlineStr">
        <is>
          <t>BALANCE TASAS</t>
        </is>
      </c>
      <c r="Z101" t="inlineStr">
        <is>
          <t>HTM</t>
        </is>
      </c>
      <c r="AA101" t="n">
        <v>1</v>
      </c>
    </row>
    <row r="102">
      <c r="A102" s="71" t="n">
        <v>45923</v>
      </c>
      <c r="B102" t="n">
        <v>1</v>
      </c>
      <c r="D102" t="inlineStr">
        <is>
          <t>PAS</t>
        </is>
      </c>
      <c r="E102" t="inlineStr">
        <is>
          <t>CLP</t>
        </is>
      </c>
      <c r="F102" t="inlineStr">
        <is>
          <t>CLP</t>
        </is>
      </c>
      <c r="H102" t="inlineStr">
        <is>
          <t>MT_R13_CTA. VISTA</t>
        </is>
      </c>
      <c r="I102" t="inlineStr">
        <is>
          <t>MT_R13_CTA. VISTA_CORE</t>
        </is>
      </c>
      <c r="K102" t="n">
        <v>24</v>
      </c>
      <c r="M102" s="71" t="n">
        <v>46630</v>
      </c>
      <c r="N102" s="71" t="n">
        <v>46630</v>
      </c>
      <c r="O102" s="71" t="n">
        <v>46630</v>
      </c>
      <c r="P102" t="n">
        <v>1167007623.849379</v>
      </c>
      <c r="V102" t="n">
        <v>1</v>
      </c>
      <c r="W102" t="inlineStr">
        <is>
          <t>BALANCE TASAS</t>
        </is>
      </c>
      <c r="Y102" t="inlineStr">
        <is>
          <t>BALANCE TASAS</t>
        </is>
      </c>
      <c r="Z102" t="inlineStr">
        <is>
          <t>HTM</t>
        </is>
      </c>
      <c r="AA102" t="n">
        <v>1</v>
      </c>
    </row>
    <row r="103">
      <c r="A103" s="71" t="n">
        <v>45923</v>
      </c>
      <c r="B103" t="n">
        <v>1</v>
      </c>
      <c r="D103" t="inlineStr">
        <is>
          <t>PAS</t>
        </is>
      </c>
      <c r="E103" t="inlineStr">
        <is>
          <t>CLP</t>
        </is>
      </c>
      <c r="F103" t="inlineStr">
        <is>
          <t>CLP</t>
        </is>
      </c>
      <c r="H103" t="inlineStr">
        <is>
          <t>MT_R13_CTA. VISTA</t>
        </is>
      </c>
      <c r="I103" t="inlineStr">
        <is>
          <t>MT_R13_CTA. VISTA_CORE</t>
        </is>
      </c>
      <c r="K103" t="n">
        <v>25</v>
      </c>
      <c r="M103" s="71" t="n">
        <v>46660</v>
      </c>
      <c r="N103" s="71" t="n">
        <v>46660</v>
      </c>
      <c r="O103" s="71" t="n">
        <v>46660</v>
      </c>
      <c r="P103" t="n">
        <v>1149125356.210528</v>
      </c>
      <c r="V103" t="n">
        <v>1</v>
      </c>
      <c r="W103" t="inlineStr">
        <is>
          <t>BALANCE TASAS</t>
        </is>
      </c>
      <c r="Y103" t="inlineStr">
        <is>
          <t>BALANCE TASAS</t>
        </is>
      </c>
      <c r="Z103" t="inlineStr">
        <is>
          <t>HTM</t>
        </is>
      </c>
      <c r="AA103" t="n">
        <v>1</v>
      </c>
    </row>
    <row r="104">
      <c r="A104" s="71" t="n">
        <v>45923</v>
      </c>
      <c r="B104" t="n">
        <v>1</v>
      </c>
      <c r="D104" t="inlineStr">
        <is>
          <t>PAS</t>
        </is>
      </c>
      <c r="E104" t="inlineStr">
        <is>
          <t>CLP</t>
        </is>
      </c>
      <c r="F104" t="inlineStr">
        <is>
          <t>CLP</t>
        </is>
      </c>
      <c r="H104" t="inlineStr">
        <is>
          <t>MT_R13_CTA. VISTA</t>
        </is>
      </c>
      <c r="I104" t="inlineStr">
        <is>
          <t>MT_R13_CTA. VISTA_CORE</t>
        </is>
      </c>
      <c r="K104" t="n">
        <v>26</v>
      </c>
      <c r="M104" s="71" t="n">
        <v>46691</v>
      </c>
      <c r="N104" s="71" t="n">
        <v>46691</v>
      </c>
      <c r="O104" s="71" t="n">
        <v>46691</v>
      </c>
      <c r="P104" t="n">
        <v>1131459843.330936</v>
      </c>
      <c r="V104" t="n">
        <v>1</v>
      </c>
      <c r="W104" t="inlineStr">
        <is>
          <t>BALANCE TASAS</t>
        </is>
      </c>
      <c r="Y104" t="inlineStr">
        <is>
          <t>BALANCE TASAS</t>
        </is>
      </c>
      <c r="Z104" t="inlineStr">
        <is>
          <t>HTM</t>
        </is>
      </c>
      <c r="AA104" t="n">
        <v>1</v>
      </c>
    </row>
    <row r="105">
      <c r="A105" s="71" t="n">
        <v>45923</v>
      </c>
      <c r="B105" t="n">
        <v>1</v>
      </c>
      <c r="D105" t="inlineStr">
        <is>
          <t>PAS</t>
        </is>
      </c>
      <c r="E105" t="inlineStr">
        <is>
          <t>CLP</t>
        </is>
      </c>
      <c r="F105" t="inlineStr">
        <is>
          <t>CLP</t>
        </is>
      </c>
      <c r="H105" t="inlineStr">
        <is>
          <t>MT_R13_CTA. VISTA</t>
        </is>
      </c>
      <c r="I105" t="inlineStr">
        <is>
          <t>MT_R13_CTA. VISTA_CORE</t>
        </is>
      </c>
      <c r="K105" t="n">
        <v>27</v>
      </c>
      <c r="M105" s="71" t="n">
        <v>46721</v>
      </c>
      <c r="N105" s="71" t="n">
        <v>46721</v>
      </c>
      <c r="O105" s="71" t="n">
        <v>46721</v>
      </c>
      <c r="P105" t="n">
        <v>1114011085.210603</v>
      </c>
      <c r="V105" t="n">
        <v>1</v>
      </c>
      <c r="W105" t="inlineStr">
        <is>
          <t>BALANCE TASAS</t>
        </is>
      </c>
      <c r="Y105" t="inlineStr">
        <is>
          <t>BALANCE TASAS</t>
        </is>
      </c>
      <c r="Z105" t="inlineStr">
        <is>
          <t>HTM</t>
        </is>
      </c>
      <c r="AA105" t="n">
        <v>1</v>
      </c>
    </row>
    <row r="106">
      <c r="A106" s="71" t="n">
        <v>45923</v>
      </c>
      <c r="B106" t="n">
        <v>1</v>
      </c>
      <c r="D106" t="inlineStr">
        <is>
          <t>PAS</t>
        </is>
      </c>
      <c r="E106" t="inlineStr">
        <is>
          <t>CLP</t>
        </is>
      </c>
      <c r="F106" t="inlineStr">
        <is>
          <t>CLP</t>
        </is>
      </c>
      <c r="H106" t="inlineStr">
        <is>
          <t>MT_R13_CTA. VISTA</t>
        </is>
      </c>
      <c r="I106" t="inlineStr">
        <is>
          <t>MT_R13_CTA. VISTA_CORE</t>
        </is>
      </c>
      <c r="K106" t="n">
        <v>28</v>
      </c>
      <c r="M106" s="71" t="n">
        <v>46752</v>
      </c>
      <c r="N106" s="71" t="n">
        <v>46752</v>
      </c>
      <c r="O106" s="71" t="n">
        <v>46752</v>
      </c>
      <c r="P106" t="n">
        <v>1096887459.229157</v>
      </c>
      <c r="V106" t="n">
        <v>1</v>
      </c>
      <c r="W106" t="inlineStr">
        <is>
          <t>BALANCE TASAS</t>
        </is>
      </c>
      <c r="Y106" t="inlineStr">
        <is>
          <t>BALANCE TASAS</t>
        </is>
      </c>
      <c r="Z106" t="inlineStr">
        <is>
          <t>HTM</t>
        </is>
      </c>
      <c r="AA106" t="n">
        <v>1</v>
      </c>
    </row>
    <row r="107">
      <c r="A107" s="71" t="n">
        <v>45923</v>
      </c>
      <c r="B107" t="n">
        <v>1</v>
      </c>
      <c r="D107" t="inlineStr">
        <is>
          <t>PAS</t>
        </is>
      </c>
      <c r="E107" t="inlineStr">
        <is>
          <t>CLP</t>
        </is>
      </c>
      <c r="F107" t="inlineStr">
        <is>
          <t>CLP</t>
        </is>
      </c>
      <c r="H107" t="inlineStr">
        <is>
          <t>MT_R13_CTA. VISTA</t>
        </is>
      </c>
      <c r="I107" t="inlineStr">
        <is>
          <t>MT_R13_CTA. VISTA_CORE</t>
        </is>
      </c>
      <c r="K107" t="n">
        <v>29</v>
      </c>
      <c r="M107" s="71" t="n">
        <v>46783</v>
      </c>
      <c r="N107" s="71" t="n">
        <v>46783</v>
      </c>
      <c r="O107" s="71" t="n">
        <v>46783</v>
      </c>
      <c r="P107" t="n">
        <v>1079980588.006971</v>
      </c>
      <c r="V107" t="n">
        <v>1</v>
      </c>
      <c r="W107" t="inlineStr">
        <is>
          <t>BALANCE TASAS</t>
        </is>
      </c>
      <c r="Y107" t="inlineStr">
        <is>
          <t>BALANCE TASAS</t>
        </is>
      </c>
      <c r="Z107" t="inlineStr">
        <is>
          <t>HTM</t>
        </is>
      </c>
      <c r="AA107" t="n">
        <v>1</v>
      </c>
    </row>
    <row r="108">
      <c r="A108" s="71" t="n">
        <v>45923</v>
      </c>
      <c r="B108" t="n">
        <v>1</v>
      </c>
      <c r="D108" t="inlineStr">
        <is>
          <t>PAS</t>
        </is>
      </c>
      <c r="E108" t="inlineStr">
        <is>
          <t>CLP</t>
        </is>
      </c>
      <c r="F108" t="inlineStr">
        <is>
          <t>CLP</t>
        </is>
      </c>
      <c r="H108" t="inlineStr">
        <is>
          <t>MT_R13_CTA. VISTA</t>
        </is>
      </c>
      <c r="I108" t="inlineStr">
        <is>
          <t>MT_R13_CTA. VISTA_CORE</t>
        </is>
      </c>
      <c r="K108" t="n">
        <v>30</v>
      </c>
      <c r="M108" s="71" t="n">
        <v>46812</v>
      </c>
      <c r="N108" s="71" t="n">
        <v>46812</v>
      </c>
      <c r="O108" s="71" t="n">
        <v>46812</v>
      </c>
      <c r="P108" t="n">
        <v>1063398848.923673</v>
      </c>
      <c r="V108" t="n">
        <v>1</v>
      </c>
      <c r="W108" t="inlineStr">
        <is>
          <t>BALANCE TASAS</t>
        </is>
      </c>
      <c r="Y108" t="inlineStr">
        <is>
          <t>BALANCE TASAS</t>
        </is>
      </c>
      <c r="Z108" t="inlineStr">
        <is>
          <t>HTM</t>
        </is>
      </c>
      <c r="AA108" t="n">
        <v>1</v>
      </c>
    </row>
    <row r="109">
      <c r="A109" s="71" t="n">
        <v>45923</v>
      </c>
      <c r="B109" t="n">
        <v>1</v>
      </c>
      <c r="D109" t="inlineStr">
        <is>
          <t>PAS</t>
        </is>
      </c>
      <c r="E109" t="inlineStr">
        <is>
          <t>CLP</t>
        </is>
      </c>
      <c r="F109" t="inlineStr">
        <is>
          <t>CLP</t>
        </is>
      </c>
      <c r="H109" t="inlineStr">
        <is>
          <t>MT_R13_CTA. VISTA</t>
        </is>
      </c>
      <c r="I109" t="inlineStr">
        <is>
          <t>MT_R13_CTA. VISTA_CORE</t>
        </is>
      </c>
      <c r="K109" t="n">
        <v>31</v>
      </c>
      <c r="M109" s="71" t="n">
        <v>46843</v>
      </c>
      <c r="N109" s="71" t="n">
        <v>46843</v>
      </c>
      <c r="O109" s="71" t="n">
        <v>46843</v>
      </c>
      <c r="P109" t="n">
        <v>1047033864.599633</v>
      </c>
      <c r="V109" t="n">
        <v>1</v>
      </c>
      <c r="W109" t="inlineStr">
        <is>
          <t>BALANCE TASAS</t>
        </is>
      </c>
      <c r="Y109" t="inlineStr">
        <is>
          <t>BALANCE TASAS</t>
        </is>
      </c>
      <c r="Z109" t="inlineStr">
        <is>
          <t>HTM</t>
        </is>
      </c>
      <c r="AA109" t="n">
        <v>1</v>
      </c>
    </row>
    <row r="110">
      <c r="A110" s="71" t="n">
        <v>45923</v>
      </c>
      <c r="B110" t="n">
        <v>1</v>
      </c>
      <c r="D110" t="inlineStr">
        <is>
          <t>PAS</t>
        </is>
      </c>
      <c r="E110" t="inlineStr">
        <is>
          <t>CLP</t>
        </is>
      </c>
      <c r="F110" t="inlineStr">
        <is>
          <t>CLP</t>
        </is>
      </c>
      <c r="H110" t="inlineStr">
        <is>
          <t>MT_R13_CTA. VISTA</t>
        </is>
      </c>
      <c r="I110" t="inlineStr">
        <is>
          <t>MT_R13_CTA. VISTA_CORE</t>
        </is>
      </c>
      <c r="K110" t="n">
        <v>32</v>
      </c>
      <c r="M110" s="71" t="n">
        <v>46873</v>
      </c>
      <c r="N110" s="71" t="n">
        <v>46873</v>
      </c>
      <c r="O110" s="71" t="n">
        <v>46873</v>
      </c>
      <c r="P110" t="n">
        <v>1030885635.034853</v>
      </c>
      <c r="V110" t="n">
        <v>1</v>
      </c>
      <c r="W110" t="inlineStr">
        <is>
          <t>BALANCE TASAS</t>
        </is>
      </c>
      <c r="Y110" t="inlineStr">
        <is>
          <t>BALANCE TASAS</t>
        </is>
      </c>
      <c r="Z110" t="inlineStr">
        <is>
          <t>HTM</t>
        </is>
      </c>
      <c r="AA110" t="n">
        <v>1</v>
      </c>
    </row>
    <row r="111">
      <c r="A111" s="71" t="n">
        <v>45923</v>
      </c>
      <c r="B111" t="n">
        <v>1</v>
      </c>
      <c r="D111" t="inlineStr">
        <is>
          <t>PAS</t>
        </is>
      </c>
      <c r="E111" t="inlineStr">
        <is>
          <t>CLP</t>
        </is>
      </c>
      <c r="F111" t="inlineStr">
        <is>
          <t>CLP</t>
        </is>
      </c>
      <c r="H111" t="inlineStr">
        <is>
          <t>MT_R13_CTA. VISTA</t>
        </is>
      </c>
      <c r="I111" t="inlineStr">
        <is>
          <t>MT_R13_CTA. VISTA_CORE</t>
        </is>
      </c>
      <c r="K111" t="n">
        <v>33</v>
      </c>
      <c r="M111" s="71" t="n">
        <v>46904</v>
      </c>
      <c r="N111" s="71" t="n">
        <v>46904</v>
      </c>
      <c r="O111" s="71" t="n">
        <v>46904</v>
      </c>
      <c r="P111" t="n">
        <v>1015062537.60896</v>
      </c>
      <c r="V111" t="n">
        <v>1</v>
      </c>
      <c r="W111" t="inlineStr">
        <is>
          <t>BALANCE TASAS</t>
        </is>
      </c>
      <c r="Y111" t="inlineStr">
        <is>
          <t>BALANCE TASAS</t>
        </is>
      </c>
      <c r="Z111" t="inlineStr">
        <is>
          <t>HTM</t>
        </is>
      </c>
      <c r="AA111" t="n">
        <v>1</v>
      </c>
    </row>
    <row r="112">
      <c r="A112" s="71" t="n">
        <v>45923</v>
      </c>
      <c r="B112" t="n">
        <v>1</v>
      </c>
      <c r="D112" t="inlineStr">
        <is>
          <t>PAS</t>
        </is>
      </c>
      <c r="E112" t="inlineStr">
        <is>
          <t>CLP</t>
        </is>
      </c>
      <c r="F112" t="inlineStr">
        <is>
          <t>CLP</t>
        </is>
      </c>
      <c r="H112" t="inlineStr">
        <is>
          <t>MT_R13_CTA. VISTA</t>
        </is>
      </c>
      <c r="I112" t="inlineStr">
        <is>
          <t>MT_R13_CTA. VISTA_CORE</t>
        </is>
      </c>
      <c r="K112" t="n">
        <v>34</v>
      </c>
      <c r="M112" s="71" t="n">
        <v>46934</v>
      </c>
      <c r="N112" s="71" t="n">
        <v>46934</v>
      </c>
      <c r="O112" s="71" t="n">
        <v>46934</v>
      </c>
      <c r="P112" t="n">
        <v>999456194.9423267</v>
      </c>
      <c r="V112" t="n">
        <v>1</v>
      </c>
      <c r="W112" t="inlineStr">
        <is>
          <t>BALANCE TASAS</t>
        </is>
      </c>
      <c r="Y112" t="inlineStr">
        <is>
          <t>BALANCE TASAS</t>
        </is>
      </c>
      <c r="Z112" t="inlineStr">
        <is>
          <t>HTM</t>
        </is>
      </c>
      <c r="AA112" t="n">
        <v>1</v>
      </c>
    </row>
    <row r="113">
      <c r="A113" s="71" t="n">
        <v>45923</v>
      </c>
      <c r="B113" t="n">
        <v>1</v>
      </c>
      <c r="D113" t="inlineStr">
        <is>
          <t>PAS</t>
        </is>
      </c>
      <c r="E113" t="inlineStr">
        <is>
          <t>CLP</t>
        </is>
      </c>
      <c r="F113" t="inlineStr">
        <is>
          <t>CLP</t>
        </is>
      </c>
      <c r="H113" t="inlineStr">
        <is>
          <t>MT_R13_CTA. VISTA</t>
        </is>
      </c>
      <c r="I113" t="inlineStr">
        <is>
          <t>MT_R13_CTA. VISTA_CORE</t>
        </is>
      </c>
      <c r="K113" t="n">
        <v>35</v>
      </c>
      <c r="M113" s="71" t="n">
        <v>46965</v>
      </c>
      <c r="N113" s="71" t="n">
        <v>46965</v>
      </c>
      <c r="O113" s="71" t="n">
        <v>46965</v>
      </c>
      <c r="P113" t="n">
        <v>984066607.0349519</v>
      </c>
      <c r="V113" t="n">
        <v>1</v>
      </c>
      <c r="W113" t="inlineStr">
        <is>
          <t>BALANCE TASAS</t>
        </is>
      </c>
      <c r="Y113" t="inlineStr">
        <is>
          <t>BALANCE TASAS</t>
        </is>
      </c>
      <c r="Z113" t="inlineStr">
        <is>
          <t>HTM</t>
        </is>
      </c>
      <c r="AA113" t="n">
        <v>1</v>
      </c>
    </row>
    <row r="114">
      <c r="A114" s="71" t="n">
        <v>45923</v>
      </c>
      <c r="B114" t="n">
        <v>1</v>
      </c>
      <c r="D114" t="inlineStr">
        <is>
          <t>PAS</t>
        </is>
      </c>
      <c r="E114" t="inlineStr">
        <is>
          <t>CLP</t>
        </is>
      </c>
      <c r="F114" t="inlineStr">
        <is>
          <t>CLP</t>
        </is>
      </c>
      <c r="H114" t="inlineStr">
        <is>
          <t>MT_R13_CTA. VISTA</t>
        </is>
      </c>
      <c r="I114" t="inlineStr">
        <is>
          <t>MT_R13_CTA. VISTA_CORE</t>
        </is>
      </c>
      <c r="K114" t="n">
        <v>36</v>
      </c>
      <c r="M114" s="71" t="n">
        <v>46996</v>
      </c>
      <c r="N114" s="71" t="n">
        <v>46996</v>
      </c>
      <c r="O114" s="71" t="n">
        <v>46996</v>
      </c>
      <c r="P114" t="n">
        <v>969002151.2664653</v>
      </c>
      <c r="V114" t="n">
        <v>1</v>
      </c>
      <c r="W114" t="inlineStr">
        <is>
          <t>BALANCE TASAS</t>
        </is>
      </c>
      <c r="Y114" t="inlineStr">
        <is>
          <t>BALANCE TASAS</t>
        </is>
      </c>
      <c r="Z114" t="inlineStr">
        <is>
          <t>HTM</t>
        </is>
      </c>
      <c r="AA114" t="n">
        <v>1</v>
      </c>
    </row>
    <row r="115">
      <c r="A115" s="71" t="n">
        <v>45923</v>
      </c>
      <c r="B115" t="n">
        <v>1</v>
      </c>
      <c r="D115" t="inlineStr">
        <is>
          <t>PAS</t>
        </is>
      </c>
      <c r="E115" t="inlineStr">
        <is>
          <t>CLP</t>
        </is>
      </c>
      <c r="F115" t="inlineStr">
        <is>
          <t>CLP</t>
        </is>
      </c>
      <c r="H115" t="inlineStr">
        <is>
          <t>MT_R13_CTA. VISTA</t>
        </is>
      </c>
      <c r="I115" t="inlineStr">
        <is>
          <t>MT_R13_CTA. VISTA_CORE</t>
        </is>
      </c>
      <c r="K115" t="n">
        <v>37</v>
      </c>
      <c r="M115" s="71" t="n">
        <v>47026</v>
      </c>
      <c r="N115" s="71" t="n">
        <v>47026</v>
      </c>
      <c r="O115" s="71" t="n">
        <v>47026</v>
      </c>
      <c r="P115" t="n">
        <v>954046072.8776082</v>
      </c>
      <c r="V115" t="n">
        <v>1</v>
      </c>
      <c r="W115" t="inlineStr">
        <is>
          <t>BALANCE TASAS</t>
        </is>
      </c>
      <c r="Y115" t="inlineStr">
        <is>
          <t>BALANCE TASAS</t>
        </is>
      </c>
      <c r="Z115" t="inlineStr">
        <is>
          <t>HTM</t>
        </is>
      </c>
      <c r="AA115" t="n">
        <v>1</v>
      </c>
    </row>
    <row r="116">
      <c r="A116" s="71" t="n">
        <v>45923</v>
      </c>
      <c r="B116" t="n">
        <v>1</v>
      </c>
      <c r="D116" t="inlineStr">
        <is>
          <t>PAS</t>
        </is>
      </c>
      <c r="E116" t="inlineStr">
        <is>
          <t>CLP</t>
        </is>
      </c>
      <c r="F116" t="inlineStr">
        <is>
          <t>CLP</t>
        </is>
      </c>
      <c r="H116" t="inlineStr">
        <is>
          <t>MT_R13_CTA. VISTA</t>
        </is>
      </c>
      <c r="I116" t="inlineStr">
        <is>
          <t>MT_R13_CTA. VISTA_CORE</t>
        </is>
      </c>
      <c r="K116" t="n">
        <v>38</v>
      </c>
      <c r="M116" s="71" t="n">
        <v>47057</v>
      </c>
      <c r="N116" s="71" t="n">
        <v>47057</v>
      </c>
      <c r="O116" s="71" t="n">
        <v>47057</v>
      </c>
      <c r="P116" t="n">
        <v>939415126.6276392</v>
      </c>
      <c r="V116" t="n">
        <v>1</v>
      </c>
      <c r="W116" t="inlineStr">
        <is>
          <t>BALANCE TASAS</t>
        </is>
      </c>
      <c r="Y116" t="inlineStr">
        <is>
          <t>BALANCE TASAS</t>
        </is>
      </c>
      <c r="Z116" t="inlineStr">
        <is>
          <t>HTM</t>
        </is>
      </c>
      <c r="AA116" t="n">
        <v>1</v>
      </c>
    </row>
    <row r="117">
      <c r="A117" s="71" t="n">
        <v>45923</v>
      </c>
      <c r="B117" t="n">
        <v>1</v>
      </c>
      <c r="D117" t="inlineStr">
        <is>
          <t>PAS</t>
        </is>
      </c>
      <c r="E117" t="inlineStr">
        <is>
          <t>CLP</t>
        </is>
      </c>
      <c r="F117" t="inlineStr">
        <is>
          <t>CLP</t>
        </is>
      </c>
      <c r="H117" t="inlineStr">
        <is>
          <t>MT_R13_CTA. VISTA</t>
        </is>
      </c>
      <c r="I117" t="inlineStr">
        <is>
          <t>MT_R13_CTA. VISTA_CORE</t>
        </is>
      </c>
      <c r="K117" t="n">
        <v>39</v>
      </c>
      <c r="M117" s="71" t="n">
        <v>47087</v>
      </c>
      <c r="N117" s="71" t="n">
        <v>47087</v>
      </c>
      <c r="O117" s="71" t="n">
        <v>47087</v>
      </c>
      <c r="P117" t="n">
        <v>924892557.7572995</v>
      </c>
      <c r="V117" t="n">
        <v>1</v>
      </c>
      <c r="W117" t="inlineStr">
        <is>
          <t>BALANCE TASAS</t>
        </is>
      </c>
      <c r="Y117" t="inlineStr">
        <is>
          <t>BALANCE TASAS</t>
        </is>
      </c>
      <c r="Z117" t="inlineStr">
        <is>
          <t>HTM</t>
        </is>
      </c>
      <c r="AA117" t="n">
        <v>1</v>
      </c>
    </row>
    <row r="118">
      <c r="A118" s="71" t="n">
        <v>45923</v>
      </c>
      <c r="B118" t="n">
        <v>1</v>
      </c>
      <c r="D118" t="inlineStr">
        <is>
          <t>PAS</t>
        </is>
      </c>
      <c r="E118" t="inlineStr">
        <is>
          <t>CLP</t>
        </is>
      </c>
      <c r="F118" t="inlineStr">
        <is>
          <t>CLP</t>
        </is>
      </c>
      <c r="H118" t="inlineStr">
        <is>
          <t>MT_R13_CTA. VISTA</t>
        </is>
      </c>
      <c r="I118" t="inlineStr">
        <is>
          <t>MT_R13_CTA. VISTA_CORE</t>
        </is>
      </c>
      <c r="K118" t="n">
        <v>40</v>
      </c>
      <c r="M118" s="71" t="n">
        <v>47118</v>
      </c>
      <c r="N118" s="71" t="n">
        <v>47118</v>
      </c>
      <c r="O118" s="71" t="n">
        <v>47118</v>
      </c>
      <c r="P118" t="n">
        <v>910695121.0258483</v>
      </c>
      <c r="V118" t="n">
        <v>1</v>
      </c>
      <c r="W118" t="inlineStr">
        <is>
          <t>BALANCE TASAS</t>
        </is>
      </c>
      <c r="Y118" t="inlineStr">
        <is>
          <t>BALANCE TASAS</t>
        </is>
      </c>
      <c r="Z118" t="inlineStr">
        <is>
          <t>HTM</t>
        </is>
      </c>
      <c r="AA118" t="n">
        <v>1</v>
      </c>
    </row>
    <row r="119">
      <c r="A119" s="71" t="n">
        <v>45923</v>
      </c>
      <c r="B119" t="n">
        <v>1</v>
      </c>
      <c r="D119" t="inlineStr">
        <is>
          <t>PAS</t>
        </is>
      </c>
      <c r="E119" t="inlineStr">
        <is>
          <t>CLP</t>
        </is>
      </c>
      <c r="F119" t="inlineStr">
        <is>
          <t>CLP</t>
        </is>
      </c>
      <c r="H119" t="inlineStr">
        <is>
          <t>MT_R13_CTA. VISTA</t>
        </is>
      </c>
      <c r="I119" t="inlineStr">
        <is>
          <t>MT_R13_CTA. VISTA_CORE</t>
        </is>
      </c>
      <c r="K119" t="n">
        <v>41</v>
      </c>
      <c r="M119" s="71" t="n">
        <v>47149</v>
      </c>
      <c r="N119" s="71" t="n">
        <v>47149</v>
      </c>
      <c r="O119" s="71" t="n">
        <v>47149</v>
      </c>
      <c r="P119" t="n">
        <v>896714439.0536555</v>
      </c>
      <c r="V119" t="n">
        <v>1</v>
      </c>
      <c r="W119" t="inlineStr">
        <is>
          <t>BALANCE TASAS</t>
        </is>
      </c>
      <c r="Y119" t="inlineStr">
        <is>
          <t>BALANCE TASAS</t>
        </is>
      </c>
      <c r="Z119" t="inlineStr">
        <is>
          <t>HTM</t>
        </is>
      </c>
      <c r="AA119" t="n">
        <v>1</v>
      </c>
    </row>
    <row r="120">
      <c r="A120" s="71" t="n">
        <v>45923</v>
      </c>
      <c r="B120" t="n">
        <v>1</v>
      </c>
      <c r="D120" t="inlineStr">
        <is>
          <t>PAS</t>
        </is>
      </c>
      <c r="E120" t="inlineStr">
        <is>
          <t>CLP</t>
        </is>
      </c>
      <c r="F120" t="inlineStr">
        <is>
          <t>CLP</t>
        </is>
      </c>
      <c r="H120" t="inlineStr">
        <is>
          <t>MT_R13_CTA. VISTA</t>
        </is>
      </c>
      <c r="I120" t="inlineStr">
        <is>
          <t>MT_R13_CTA. VISTA_CORE</t>
        </is>
      </c>
      <c r="K120" t="n">
        <v>42</v>
      </c>
      <c r="M120" s="71" t="n">
        <v>47177</v>
      </c>
      <c r="N120" s="71" t="n">
        <v>47177</v>
      </c>
      <c r="O120" s="71" t="n">
        <v>47177</v>
      </c>
      <c r="P120" t="n">
        <v>882950511.8407217</v>
      </c>
      <c r="V120" t="n">
        <v>1</v>
      </c>
      <c r="W120" t="inlineStr">
        <is>
          <t>BALANCE TASAS</t>
        </is>
      </c>
      <c r="Y120" t="inlineStr">
        <is>
          <t>BALANCE TASAS</t>
        </is>
      </c>
      <c r="Z120" t="inlineStr">
        <is>
          <t>HTM</t>
        </is>
      </c>
      <c r="AA120" t="n">
        <v>1</v>
      </c>
    </row>
    <row r="121">
      <c r="A121" s="71" t="n">
        <v>45923</v>
      </c>
      <c r="B121" t="n">
        <v>1</v>
      </c>
      <c r="D121" t="inlineStr">
        <is>
          <t>PAS</t>
        </is>
      </c>
      <c r="E121" t="inlineStr">
        <is>
          <t>CLP</t>
        </is>
      </c>
      <c r="F121" t="inlineStr">
        <is>
          <t>CLP</t>
        </is>
      </c>
      <c r="H121" t="inlineStr">
        <is>
          <t>MT_R13_CTA. VISTA</t>
        </is>
      </c>
      <c r="I121" t="inlineStr">
        <is>
          <t>MT_R13_CTA. VISTA_CORE</t>
        </is>
      </c>
      <c r="K121" t="n">
        <v>43</v>
      </c>
      <c r="M121" s="71" t="n">
        <v>47208</v>
      </c>
      <c r="N121" s="71" t="n">
        <v>47208</v>
      </c>
      <c r="O121" s="71" t="n">
        <v>47208</v>
      </c>
      <c r="P121" t="n">
        <v>869294962.0074174</v>
      </c>
      <c r="V121" t="n">
        <v>1</v>
      </c>
      <c r="W121" t="inlineStr">
        <is>
          <t>BALANCE TASAS</t>
        </is>
      </c>
      <c r="Y121" t="inlineStr">
        <is>
          <t>BALANCE TASAS</t>
        </is>
      </c>
      <c r="Z121" t="inlineStr">
        <is>
          <t>HTM</t>
        </is>
      </c>
      <c r="AA121" t="n">
        <v>1</v>
      </c>
    </row>
    <row r="122">
      <c r="A122" s="71" t="n">
        <v>45923</v>
      </c>
      <c r="B122" t="n">
        <v>1</v>
      </c>
      <c r="D122" t="inlineStr">
        <is>
          <t>PAS</t>
        </is>
      </c>
      <c r="E122" t="inlineStr">
        <is>
          <t>CLP</t>
        </is>
      </c>
      <c r="F122" t="inlineStr">
        <is>
          <t>CLP</t>
        </is>
      </c>
      <c r="H122" t="inlineStr">
        <is>
          <t>MT_R13_CTA. VISTA</t>
        </is>
      </c>
      <c r="I122" t="inlineStr">
        <is>
          <t>MT_R13_CTA. VISTA_CORE</t>
        </is>
      </c>
      <c r="K122" t="n">
        <v>44</v>
      </c>
      <c r="M122" s="71" t="n">
        <v>47238</v>
      </c>
      <c r="N122" s="71" t="n">
        <v>47238</v>
      </c>
      <c r="O122" s="71" t="n">
        <v>47238</v>
      </c>
      <c r="P122" t="n">
        <v>855964544.3130012</v>
      </c>
      <c r="V122" t="n">
        <v>1</v>
      </c>
      <c r="W122" t="inlineStr">
        <is>
          <t>BALANCE TASAS</t>
        </is>
      </c>
      <c r="Y122" t="inlineStr">
        <is>
          <t>BALANCE TASAS</t>
        </is>
      </c>
      <c r="Z122" t="inlineStr">
        <is>
          <t>HTM</t>
        </is>
      </c>
      <c r="AA122" t="n">
        <v>1</v>
      </c>
    </row>
    <row r="123">
      <c r="A123" s="71" t="n">
        <v>45923</v>
      </c>
      <c r="B123" t="n">
        <v>1</v>
      </c>
      <c r="D123" t="inlineStr">
        <is>
          <t>PAS</t>
        </is>
      </c>
      <c r="E123" t="inlineStr">
        <is>
          <t>CLP</t>
        </is>
      </c>
      <c r="F123" t="inlineStr">
        <is>
          <t>CLP</t>
        </is>
      </c>
      <c r="H123" t="inlineStr">
        <is>
          <t>MT_R13_CTA. VISTA</t>
        </is>
      </c>
      <c r="I123" t="inlineStr">
        <is>
          <t>MT_R13_CTA. VISTA_CORE</t>
        </is>
      </c>
      <c r="K123" t="n">
        <v>45</v>
      </c>
      <c r="M123" s="71" t="n">
        <v>47269</v>
      </c>
      <c r="N123" s="71" t="n">
        <v>47269</v>
      </c>
      <c r="O123" s="71" t="n">
        <v>47269</v>
      </c>
      <c r="P123" t="n">
        <v>842742503.9982144</v>
      </c>
      <c r="V123" t="n">
        <v>1</v>
      </c>
      <c r="W123" t="inlineStr">
        <is>
          <t>BALANCE TASAS</t>
        </is>
      </c>
      <c r="Y123" t="inlineStr">
        <is>
          <t>BALANCE TASAS</t>
        </is>
      </c>
      <c r="Z123" t="inlineStr">
        <is>
          <t>HTM</t>
        </is>
      </c>
      <c r="AA123" t="n">
        <v>1</v>
      </c>
    </row>
    <row r="124">
      <c r="A124" s="71" t="n">
        <v>45923</v>
      </c>
      <c r="B124" t="n">
        <v>1</v>
      </c>
      <c r="D124" t="inlineStr">
        <is>
          <t>PAS</t>
        </is>
      </c>
      <c r="E124" t="inlineStr">
        <is>
          <t>CLP</t>
        </is>
      </c>
      <c r="F124" t="inlineStr">
        <is>
          <t>CLP</t>
        </is>
      </c>
      <c r="H124" t="inlineStr">
        <is>
          <t>MT_R13_CTA. VISTA</t>
        </is>
      </c>
      <c r="I124" t="inlineStr">
        <is>
          <t>MT_R13_CTA. VISTA_CORE</t>
        </is>
      </c>
      <c r="K124" t="n">
        <v>46</v>
      </c>
      <c r="M124" s="71" t="n">
        <v>47299</v>
      </c>
      <c r="N124" s="71" t="n">
        <v>47299</v>
      </c>
      <c r="O124" s="71" t="n">
        <v>47299</v>
      </c>
      <c r="P124" t="n">
        <v>829845595.8223157</v>
      </c>
      <c r="V124" t="n">
        <v>1</v>
      </c>
      <c r="W124" t="inlineStr">
        <is>
          <t>BALANCE TASAS</t>
        </is>
      </c>
      <c r="Y124" t="inlineStr">
        <is>
          <t>BALANCE TASAS</t>
        </is>
      </c>
      <c r="Z124" t="inlineStr">
        <is>
          <t>HTM</t>
        </is>
      </c>
      <c r="AA124" t="n">
        <v>1</v>
      </c>
    </row>
    <row r="125">
      <c r="A125" s="71" t="n">
        <v>45923</v>
      </c>
      <c r="B125" t="n">
        <v>1</v>
      </c>
      <c r="D125" t="inlineStr">
        <is>
          <t>PAS</t>
        </is>
      </c>
      <c r="E125" t="inlineStr">
        <is>
          <t>CLP</t>
        </is>
      </c>
      <c r="F125" t="inlineStr">
        <is>
          <t>CLP</t>
        </is>
      </c>
      <c r="H125" t="inlineStr">
        <is>
          <t>MT_R13_CTA. VISTA</t>
        </is>
      </c>
      <c r="I125" t="inlineStr">
        <is>
          <t>MT_R13_CTA. VISTA_CORE</t>
        </is>
      </c>
      <c r="K125" t="n">
        <v>47</v>
      </c>
      <c r="M125" s="71" t="n">
        <v>47330</v>
      </c>
      <c r="N125" s="71" t="n">
        <v>47330</v>
      </c>
      <c r="O125" s="71" t="n">
        <v>47330</v>
      </c>
      <c r="P125" t="n">
        <v>817057065.0260465</v>
      </c>
      <c r="V125" t="n">
        <v>1</v>
      </c>
      <c r="W125" t="inlineStr">
        <is>
          <t>BALANCE TASAS</t>
        </is>
      </c>
      <c r="Y125" t="inlineStr">
        <is>
          <t>BALANCE TASAS</t>
        </is>
      </c>
      <c r="Z125" t="inlineStr">
        <is>
          <t>HTM</t>
        </is>
      </c>
      <c r="AA125" t="n">
        <v>1</v>
      </c>
    </row>
    <row r="126">
      <c r="A126" s="71" t="n">
        <v>45923</v>
      </c>
      <c r="B126" t="n">
        <v>1</v>
      </c>
      <c r="D126" t="inlineStr">
        <is>
          <t>PAS</t>
        </is>
      </c>
      <c r="E126" t="inlineStr">
        <is>
          <t>CLP</t>
        </is>
      </c>
      <c r="F126" t="inlineStr">
        <is>
          <t>CLP</t>
        </is>
      </c>
      <c r="H126" t="inlineStr">
        <is>
          <t>MT_R13_CTA. VISTA</t>
        </is>
      </c>
      <c r="I126" t="inlineStr">
        <is>
          <t>MT_R13_CTA. VISTA_CORE</t>
        </is>
      </c>
      <c r="K126" t="n">
        <v>48</v>
      </c>
      <c r="M126" s="71" t="n">
        <v>47361</v>
      </c>
      <c r="N126" s="71" t="n">
        <v>47361</v>
      </c>
      <c r="O126" s="71" t="n">
        <v>47361</v>
      </c>
      <c r="P126" t="n">
        <v>804485288.9890362</v>
      </c>
      <c r="V126" t="n">
        <v>1</v>
      </c>
      <c r="W126" t="inlineStr">
        <is>
          <t>BALANCE TASAS</t>
        </is>
      </c>
      <c r="Y126" t="inlineStr">
        <is>
          <t>BALANCE TASAS</t>
        </is>
      </c>
      <c r="Z126" t="inlineStr">
        <is>
          <t>HTM</t>
        </is>
      </c>
      <c r="AA126" t="n">
        <v>1</v>
      </c>
    </row>
    <row r="127">
      <c r="A127" s="71" t="n">
        <v>45923</v>
      </c>
      <c r="B127" t="n">
        <v>1</v>
      </c>
      <c r="D127" t="inlineStr">
        <is>
          <t>PAS</t>
        </is>
      </c>
      <c r="E127" t="inlineStr">
        <is>
          <t>CLP</t>
        </is>
      </c>
      <c r="F127" t="inlineStr">
        <is>
          <t>CLP</t>
        </is>
      </c>
      <c r="H127" t="inlineStr">
        <is>
          <t>MT_R13_CTA. VISTA</t>
        </is>
      </c>
      <c r="I127" t="inlineStr">
        <is>
          <t>MT_R13_CTA. VISTA_CORE</t>
        </is>
      </c>
      <c r="K127" t="n">
        <v>49</v>
      </c>
      <c r="M127" s="71" t="n">
        <v>47391</v>
      </c>
      <c r="N127" s="71" t="n">
        <v>47391</v>
      </c>
      <c r="O127" s="71" t="n">
        <v>47391</v>
      </c>
      <c r="P127" t="n">
        <v>792130267.7112846</v>
      </c>
      <c r="V127" t="n">
        <v>1</v>
      </c>
      <c r="W127" t="inlineStr">
        <is>
          <t>BALANCE TASAS</t>
        </is>
      </c>
      <c r="Y127" t="inlineStr">
        <is>
          <t>BALANCE TASAS</t>
        </is>
      </c>
      <c r="Z127" t="inlineStr">
        <is>
          <t>HTM</t>
        </is>
      </c>
      <c r="AA127" t="n">
        <v>1</v>
      </c>
    </row>
    <row r="128">
      <c r="A128" s="71" t="n">
        <v>45923</v>
      </c>
      <c r="B128" t="n">
        <v>1</v>
      </c>
      <c r="D128" t="inlineStr">
        <is>
          <t>PAS</t>
        </is>
      </c>
      <c r="E128" t="inlineStr">
        <is>
          <t>CLP</t>
        </is>
      </c>
      <c r="F128" t="inlineStr">
        <is>
          <t>CLP</t>
        </is>
      </c>
      <c r="H128" t="inlineStr">
        <is>
          <t>MT_R13_CTA. VISTA</t>
        </is>
      </c>
      <c r="I128" t="inlineStr">
        <is>
          <t>MT_R13_CTA. VISTA_CORE</t>
        </is>
      </c>
      <c r="K128" t="n">
        <v>50</v>
      </c>
      <c r="M128" s="71" t="n">
        <v>47422</v>
      </c>
      <c r="N128" s="71" t="n">
        <v>47422</v>
      </c>
      <c r="O128" s="71" t="n">
        <v>47422</v>
      </c>
      <c r="P128" t="n">
        <v>779992001.1927918</v>
      </c>
      <c r="V128" t="n">
        <v>1</v>
      </c>
      <c r="W128" t="inlineStr">
        <is>
          <t>BALANCE TASAS</t>
        </is>
      </c>
      <c r="Y128" t="inlineStr">
        <is>
          <t>BALANCE TASAS</t>
        </is>
      </c>
      <c r="Z128" t="inlineStr">
        <is>
          <t>HTM</t>
        </is>
      </c>
      <c r="AA128" t="n">
        <v>1</v>
      </c>
    </row>
    <row r="129">
      <c r="A129" s="71" t="n">
        <v>45923</v>
      </c>
      <c r="B129" t="n">
        <v>1</v>
      </c>
      <c r="D129" t="inlineStr">
        <is>
          <t>PAS</t>
        </is>
      </c>
      <c r="E129" t="inlineStr">
        <is>
          <t>CLP</t>
        </is>
      </c>
      <c r="F129" t="inlineStr">
        <is>
          <t>CLP</t>
        </is>
      </c>
      <c r="H129" t="inlineStr">
        <is>
          <t>MT_R13_CTA. VISTA</t>
        </is>
      </c>
      <c r="I129" t="inlineStr">
        <is>
          <t>MT_R13_CTA. VISTA_CORE</t>
        </is>
      </c>
      <c r="K129" t="n">
        <v>51</v>
      </c>
      <c r="M129" s="71" t="n">
        <v>47452</v>
      </c>
      <c r="N129" s="71" t="n">
        <v>47452</v>
      </c>
      <c r="O129" s="71" t="n">
        <v>47452</v>
      </c>
      <c r="P129" t="n">
        <v>767962112.0539284</v>
      </c>
      <c r="V129" t="n">
        <v>1</v>
      </c>
      <c r="W129" t="inlineStr">
        <is>
          <t>BALANCE TASAS</t>
        </is>
      </c>
      <c r="Y129" t="inlineStr">
        <is>
          <t>BALANCE TASAS</t>
        </is>
      </c>
      <c r="Z129" t="inlineStr">
        <is>
          <t>HTM</t>
        </is>
      </c>
      <c r="AA129" t="n">
        <v>1</v>
      </c>
    </row>
    <row r="130">
      <c r="A130" s="71" t="n">
        <v>45923</v>
      </c>
      <c r="B130" t="n">
        <v>1</v>
      </c>
      <c r="D130" t="inlineStr">
        <is>
          <t>PAS</t>
        </is>
      </c>
      <c r="E130" t="inlineStr">
        <is>
          <t>CLP</t>
        </is>
      </c>
      <c r="F130" t="inlineStr">
        <is>
          <t>CLP</t>
        </is>
      </c>
      <c r="H130" t="inlineStr">
        <is>
          <t>MT_R13_CTA. VISTA</t>
        </is>
      </c>
      <c r="I130" t="inlineStr">
        <is>
          <t>MT_R13_CTA. VISTA_CORE</t>
        </is>
      </c>
      <c r="K130" t="n">
        <v>52</v>
      </c>
      <c r="M130" s="71" t="n">
        <v>47483</v>
      </c>
      <c r="N130" s="71" t="n">
        <v>47483</v>
      </c>
      <c r="O130" s="71" t="n">
        <v>47483</v>
      </c>
      <c r="P130" t="n">
        <v>756148977.6743237</v>
      </c>
      <c r="V130" t="n">
        <v>1</v>
      </c>
      <c r="W130" t="inlineStr">
        <is>
          <t>BALANCE TASAS</t>
        </is>
      </c>
      <c r="Y130" t="inlineStr">
        <is>
          <t>BALANCE TASAS</t>
        </is>
      </c>
      <c r="Z130" t="inlineStr">
        <is>
          <t>HTM</t>
        </is>
      </c>
      <c r="AA130" t="n">
        <v>1</v>
      </c>
    </row>
    <row r="131">
      <c r="A131" s="71" t="n">
        <v>45923</v>
      </c>
      <c r="B131" t="n">
        <v>1</v>
      </c>
      <c r="D131" t="inlineStr">
        <is>
          <t>PAS</t>
        </is>
      </c>
      <c r="E131" t="inlineStr">
        <is>
          <t>CLP</t>
        </is>
      </c>
      <c r="F131" t="inlineStr">
        <is>
          <t>CLP</t>
        </is>
      </c>
      <c r="H131" t="inlineStr">
        <is>
          <t>MT_R13_CTA. VISTA</t>
        </is>
      </c>
      <c r="I131" t="inlineStr">
        <is>
          <t>MT_R13_CTA. VISTA_CORE</t>
        </is>
      </c>
      <c r="K131" t="n">
        <v>53</v>
      </c>
      <c r="M131" s="71" t="n">
        <v>47514</v>
      </c>
      <c r="N131" s="71" t="n">
        <v>47514</v>
      </c>
      <c r="O131" s="71" t="n">
        <v>47514</v>
      </c>
      <c r="P131" t="n">
        <v>744552598.053978</v>
      </c>
      <c r="V131" t="n">
        <v>1</v>
      </c>
      <c r="W131" t="inlineStr">
        <is>
          <t>BALANCE TASAS</t>
        </is>
      </c>
      <c r="Y131" t="inlineStr">
        <is>
          <t>BALANCE TASAS</t>
        </is>
      </c>
      <c r="Z131" t="inlineStr">
        <is>
          <t>HTM</t>
        </is>
      </c>
      <c r="AA131" t="n">
        <v>1</v>
      </c>
    </row>
    <row r="132">
      <c r="A132" s="71" t="n">
        <v>45923</v>
      </c>
      <c r="B132" t="n">
        <v>1</v>
      </c>
      <c r="D132" t="inlineStr">
        <is>
          <t>PAS</t>
        </is>
      </c>
      <c r="E132" t="inlineStr">
        <is>
          <t>CLP</t>
        </is>
      </c>
      <c r="F132" t="inlineStr">
        <is>
          <t>CLP</t>
        </is>
      </c>
      <c r="H132" t="inlineStr">
        <is>
          <t>MT_R13_CTA. VISTA</t>
        </is>
      </c>
      <c r="I132" t="inlineStr">
        <is>
          <t>MT_R13_CTA. VISTA_CORE</t>
        </is>
      </c>
      <c r="K132" t="n">
        <v>54</v>
      </c>
      <c r="M132" s="71" t="n">
        <v>47542</v>
      </c>
      <c r="N132" s="71" t="n">
        <v>47542</v>
      </c>
      <c r="O132" s="71" t="n">
        <v>47542</v>
      </c>
      <c r="P132" t="n">
        <v>733064595.8132615</v>
      </c>
      <c r="V132" t="n">
        <v>1</v>
      </c>
      <c r="W132" t="inlineStr">
        <is>
          <t>BALANCE TASAS</t>
        </is>
      </c>
      <c r="Y132" t="inlineStr">
        <is>
          <t>BALANCE TASAS</t>
        </is>
      </c>
      <c r="Z132" t="inlineStr">
        <is>
          <t>HTM</t>
        </is>
      </c>
      <c r="AA132" t="n">
        <v>1</v>
      </c>
    </row>
    <row r="133">
      <c r="A133" s="71" t="n">
        <v>45923</v>
      </c>
      <c r="B133" t="n">
        <v>1</v>
      </c>
      <c r="D133" t="inlineStr">
        <is>
          <t>PAS</t>
        </is>
      </c>
      <c r="E133" t="inlineStr">
        <is>
          <t>CLP</t>
        </is>
      </c>
      <c r="F133" t="inlineStr">
        <is>
          <t>CLP</t>
        </is>
      </c>
      <c r="H133" t="inlineStr">
        <is>
          <t>MT_R13_CTA. VISTA</t>
        </is>
      </c>
      <c r="I133" t="inlineStr">
        <is>
          <t>MT_R13_CTA. VISTA_CORE</t>
        </is>
      </c>
      <c r="K133" t="n">
        <v>55</v>
      </c>
      <c r="M133" s="71" t="n">
        <v>47573</v>
      </c>
      <c r="N133" s="71" t="n">
        <v>47573</v>
      </c>
      <c r="O133" s="71" t="n">
        <v>47573</v>
      </c>
      <c r="P133" t="n">
        <v>721793348.3318039</v>
      </c>
      <c r="V133" t="n">
        <v>1</v>
      </c>
      <c r="W133" t="inlineStr">
        <is>
          <t>BALANCE TASAS</t>
        </is>
      </c>
      <c r="Y133" t="inlineStr">
        <is>
          <t>BALANCE TASAS</t>
        </is>
      </c>
      <c r="Z133" t="inlineStr">
        <is>
          <t>HTM</t>
        </is>
      </c>
      <c r="AA133" t="n">
        <v>1</v>
      </c>
    </row>
    <row r="134">
      <c r="A134" s="71" t="n">
        <v>45923</v>
      </c>
      <c r="B134" t="n">
        <v>1</v>
      </c>
      <c r="D134" t="inlineStr">
        <is>
          <t>PAS</t>
        </is>
      </c>
      <c r="E134" t="inlineStr">
        <is>
          <t>CLP</t>
        </is>
      </c>
      <c r="F134" t="inlineStr">
        <is>
          <t>CLP</t>
        </is>
      </c>
      <c r="H134" t="inlineStr">
        <is>
          <t>MT_R13_CTA. VISTA</t>
        </is>
      </c>
      <c r="I134" t="inlineStr">
        <is>
          <t>MT_R13_CTA. VISTA_CORE</t>
        </is>
      </c>
      <c r="K134" t="n">
        <v>56</v>
      </c>
      <c r="M134" s="71" t="n">
        <v>47603</v>
      </c>
      <c r="N134" s="71" t="n">
        <v>47603</v>
      </c>
      <c r="O134" s="71" t="n">
        <v>47603</v>
      </c>
      <c r="P134" t="n">
        <v>710630478.2299758</v>
      </c>
      <c r="V134" t="n">
        <v>1</v>
      </c>
      <c r="W134" t="inlineStr">
        <is>
          <t>BALANCE TASAS</t>
        </is>
      </c>
      <c r="Y134" t="inlineStr">
        <is>
          <t>BALANCE TASAS</t>
        </is>
      </c>
      <c r="Z134" t="inlineStr">
        <is>
          <t>HTM</t>
        </is>
      </c>
      <c r="AA134" t="n">
        <v>1</v>
      </c>
    </row>
    <row r="135">
      <c r="A135" s="71" t="n">
        <v>45923</v>
      </c>
      <c r="B135" t="n">
        <v>1</v>
      </c>
      <c r="D135" t="inlineStr">
        <is>
          <t>PAS</t>
        </is>
      </c>
      <c r="E135" t="inlineStr">
        <is>
          <t>CLP</t>
        </is>
      </c>
      <c r="F135" t="inlineStr">
        <is>
          <t>CLP</t>
        </is>
      </c>
      <c r="H135" t="inlineStr">
        <is>
          <t>MT_R13_CTA. VISTA</t>
        </is>
      </c>
      <c r="I135" t="inlineStr">
        <is>
          <t>MT_R13_CTA. VISTA_CORE</t>
        </is>
      </c>
      <c r="K135" t="n">
        <v>57</v>
      </c>
      <c r="M135" s="71" t="n">
        <v>47634</v>
      </c>
      <c r="N135" s="71" t="n">
        <v>47634</v>
      </c>
      <c r="O135" s="71" t="n">
        <v>47634</v>
      </c>
      <c r="P135" t="n">
        <v>699792740.2670357</v>
      </c>
      <c r="V135" t="n">
        <v>1</v>
      </c>
      <c r="W135" t="inlineStr">
        <is>
          <t>BALANCE TASAS</t>
        </is>
      </c>
      <c r="Y135" t="inlineStr">
        <is>
          <t>BALANCE TASAS</t>
        </is>
      </c>
      <c r="Z135" t="inlineStr">
        <is>
          <t>HTM</t>
        </is>
      </c>
      <c r="AA135" t="n">
        <v>1</v>
      </c>
    </row>
    <row r="136">
      <c r="A136" s="71" t="n">
        <v>45923</v>
      </c>
      <c r="B136" t="n">
        <v>1</v>
      </c>
      <c r="D136" t="inlineStr">
        <is>
          <t>PAS</t>
        </is>
      </c>
      <c r="E136" t="inlineStr">
        <is>
          <t>CLP</t>
        </is>
      </c>
      <c r="F136" t="inlineStr">
        <is>
          <t>CLP</t>
        </is>
      </c>
      <c r="H136" t="inlineStr">
        <is>
          <t>MT_R13_CTA. VISTA</t>
        </is>
      </c>
      <c r="I136" t="inlineStr">
        <is>
          <t>MT_R13_CTA. VISTA_CORE</t>
        </is>
      </c>
      <c r="K136" t="n">
        <v>58</v>
      </c>
      <c r="M136" s="71" t="n">
        <v>47664</v>
      </c>
      <c r="N136" s="71" t="n">
        <v>47664</v>
      </c>
      <c r="O136" s="71" t="n">
        <v>47664</v>
      </c>
      <c r="P136" t="n">
        <v>688955002.3040957</v>
      </c>
      <c r="V136" t="n">
        <v>1</v>
      </c>
      <c r="W136" t="inlineStr">
        <is>
          <t>BALANCE TASAS</t>
        </is>
      </c>
      <c r="Y136" t="inlineStr">
        <is>
          <t>BALANCE TASAS</t>
        </is>
      </c>
      <c r="Z136" t="inlineStr">
        <is>
          <t>HTM</t>
        </is>
      </c>
      <c r="AA136" t="n">
        <v>1</v>
      </c>
    </row>
    <row r="137">
      <c r="A137" s="71" t="n">
        <v>45923</v>
      </c>
      <c r="B137" t="n">
        <v>1</v>
      </c>
      <c r="D137" t="inlineStr">
        <is>
          <t>PAS</t>
        </is>
      </c>
      <c r="E137" t="inlineStr">
        <is>
          <t>CLP</t>
        </is>
      </c>
      <c r="F137" t="inlineStr">
        <is>
          <t>CLP</t>
        </is>
      </c>
      <c r="H137" t="inlineStr">
        <is>
          <t>MT_R13_CTA. VISTA</t>
        </is>
      </c>
      <c r="I137" t="inlineStr">
        <is>
          <t>MT_R13_CTA. VISTA_CORE</t>
        </is>
      </c>
      <c r="K137" t="n">
        <v>59</v>
      </c>
      <c r="M137" s="71" t="n">
        <v>47695</v>
      </c>
      <c r="N137" s="71" t="n">
        <v>47695</v>
      </c>
      <c r="O137" s="71" t="n">
        <v>47695</v>
      </c>
      <c r="P137" t="n">
        <v>678334019.1004145</v>
      </c>
      <c r="V137" t="n">
        <v>1</v>
      </c>
      <c r="W137" t="inlineStr">
        <is>
          <t>BALANCE TASAS</t>
        </is>
      </c>
      <c r="Y137" t="inlineStr">
        <is>
          <t>BALANCE TASAS</t>
        </is>
      </c>
      <c r="Z137" t="inlineStr">
        <is>
          <t>HTM</t>
        </is>
      </c>
      <c r="AA137" t="n">
        <v>1</v>
      </c>
    </row>
    <row r="138">
      <c r="A138" s="71" t="n">
        <v>45923</v>
      </c>
      <c r="B138" t="n">
        <v>1</v>
      </c>
      <c r="D138" t="inlineStr">
        <is>
          <t>PAS</t>
        </is>
      </c>
      <c r="E138" t="inlineStr">
        <is>
          <t>CLP</t>
        </is>
      </c>
      <c r="F138" t="inlineStr">
        <is>
          <t>CLP</t>
        </is>
      </c>
      <c r="H138" t="inlineStr">
        <is>
          <t>MT_R13_CTA. VISTA</t>
        </is>
      </c>
      <c r="I138" t="inlineStr">
        <is>
          <t>MT_R13_CTA. VISTA_CORE</t>
        </is>
      </c>
      <c r="K138" t="n">
        <v>60</v>
      </c>
      <c r="M138" s="71" t="n">
        <v>47726</v>
      </c>
      <c r="N138" s="71" t="n">
        <v>47726</v>
      </c>
      <c r="O138" s="71" t="n">
        <v>47726</v>
      </c>
      <c r="P138" t="n">
        <v>667929790.6559922</v>
      </c>
      <c r="V138" t="n">
        <v>1</v>
      </c>
      <c r="W138" t="inlineStr">
        <is>
          <t>BALANCE TASAS</t>
        </is>
      </c>
      <c r="Y138" t="inlineStr">
        <is>
          <t>BALANCE TASAS</t>
        </is>
      </c>
      <c r="Z138" t="inlineStr">
        <is>
          <t>HTM</t>
        </is>
      </c>
      <c r="AA138" t="n">
        <v>1</v>
      </c>
    </row>
    <row r="139">
      <c r="A139" s="71" t="n">
        <v>45923</v>
      </c>
      <c r="B139" t="n">
        <v>1</v>
      </c>
      <c r="D139" t="inlineStr">
        <is>
          <t>PAS</t>
        </is>
      </c>
      <c r="E139" t="inlineStr">
        <is>
          <t>CLP</t>
        </is>
      </c>
      <c r="F139" t="inlineStr">
        <is>
          <t>CLP</t>
        </is>
      </c>
      <c r="H139" t="inlineStr">
        <is>
          <t>MT_R13_CTA. VISTA</t>
        </is>
      </c>
      <c r="I139" t="inlineStr">
        <is>
          <t>MT_R13_CTA. VISTA_CORE</t>
        </is>
      </c>
      <c r="K139" t="n">
        <v>61</v>
      </c>
      <c r="M139" s="71" t="n">
        <v>47756</v>
      </c>
      <c r="N139" s="71" t="n">
        <v>47756</v>
      </c>
      <c r="O139" s="71" t="n">
        <v>47756</v>
      </c>
      <c r="P139" t="n">
        <v>657633939.5911992</v>
      </c>
      <c r="V139" t="n">
        <v>1</v>
      </c>
      <c r="W139" t="inlineStr">
        <is>
          <t>BALANCE TASAS</t>
        </is>
      </c>
      <c r="Y139" t="inlineStr">
        <is>
          <t>BALANCE TASAS</t>
        </is>
      </c>
      <c r="Z139" t="inlineStr">
        <is>
          <t>HTM</t>
        </is>
      </c>
      <c r="AA139" t="n">
        <v>1</v>
      </c>
    </row>
    <row r="140">
      <c r="A140" s="71" t="n">
        <v>45923</v>
      </c>
      <c r="B140" t="n">
        <v>1</v>
      </c>
      <c r="D140" t="inlineStr">
        <is>
          <t>PAS</t>
        </is>
      </c>
      <c r="E140" t="inlineStr">
        <is>
          <t>CLP</t>
        </is>
      </c>
      <c r="F140" t="inlineStr">
        <is>
          <t>CLP</t>
        </is>
      </c>
      <c r="H140" t="inlineStr">
        <is>
          <t>MT_R13_CTA. VISTA</t>
        </is>
      </c>
      <c r="I140" t="inlineStr">
        <is>
          <t>MT_R13_CTA. VISTA_CORE</t>
        </is>
      </c>
      <c r="K140" t="n">
        <v>62</v>
      </c>
      <c r="M140" s="71" t="n">
        <v>47787</v>
      </c>
      <c r="N140" s="71" t="n">
        <v>47787</v>
      </c>
      <c r="O140" s="71" t="n">
        <v>47787</v>
      </c>
      <c r="P140" t="n">
        <v>647554843.285665</v>
      </c>
      <c r="V140" t="n">
        <v>1</v>
      </c>
      <c r="W140" t="inlineStr">
        <is>
          <t>BALANCE TASAS</t>
        </is>
      </c>
      <c r="Y140" t="inlineStr">
        <is>
          <t>BALANCE TASAS</t>
        </is>
      </c>
      <c r="Z140" t="inlineStr">
        <is>
          <t>HTM</t>
        </is>
      </c>
      <c r="AA140" t="n">
        <v>1</v>
      </c>
    </row>
    <row r="141">
      <c r="A141" s="71" t="n">
        <v>45923</v>
      </c>
      <c r="B141" t="n">
        <v>1</v>
      </c>
      <c r="D141" t="inlineStr">
        <is>
          <t>PAS</t>
        </is>
      </c>
      <c r="E141" t="inlineStr">
        <is>
          <t>CLP</t>
        </is>
      </c>
      <c r="F141" t="inlineStr">
        <is>
          <t>CLP</t>
        </is>
      </c>
      <c r="H141" t="inlineStr">
        <is>
          <t>MT_R13_CTA. VISTA</t>
        </is>
      </c>
      <c r="I141" t="inlineStr">
        <is>
          <t>MT_R13_CTA. VISTA_CORE</t>
        </is>
      </c>
      <c r="K141" t="n">
        <v>63</v>
      </c>
      <c r="M141" s="71" t="n">
        <v>47817</v>
      </c>
      <c r="N141" s="71" t="n">
        <v>47817</v>
      </c>
      <c r="O141" s="71" t="n">
        <v>47817</v>
      </c>
      <c r="P141" t="n">
        <v>637584124.3597602</v>
      </c>
      <c r="V141" t="n">
        <v>1</v>
      </c>
      <c r="W141" t="inlineStr">
        <is>
          <t>BALANCE TASAS</t>
        </is>
      </c>
      <c r="Y141" t="inlineStr">
        <is>
          <t>BALANCE TASAS</t>
        </is>
      </c>
      <c r="Z141" t="inlineStr">
        <is>
          <t>HTM</t>
        </is>
      </c>
      <c r="AA141" t="n">
        <v>1</v>
      </c>
    </row>
    <row r="142">
      <c r="A142" s="71" t="n">
        <v>45923</v>
      </c>
      <c r="B142" t="n">
        <v>1</v>
      </c>
      <c r="D142" t="inlineStr">
        <is>
          <t>PAS</t>
        </is>
      </c>
      <c r="E142" t="inlineStr">
        <is>
          <t>CLP</t>
        </is>
      </c>
      <c r="F142" t="inlineStr">
        <is>
          <t>CLP</t>
        </is>
      </c>
      <c r="H142" t="inlineStr">
        <is>
          <t>MT_R13_CTA. VISTA</t>
        </is>
      </c>
      <c r="I142" t="inlineStr">
        <is>
          <t>MT_R13_CTA. VISTA_CORE</t>
        </is>
      </c>
      <c r="K142" t="n">
        <v>64</v>
      </c>
      <c r="M142" s="71" t="n">
        <v>47848</v>
      </c>
      <c r="N142" s="71" t="n">
        <v>47848</v>
      </c>
      <c r="O142" s="71" t="n">
        <v>47848</v>
      </c>
      <c r="P142" t="n">
        <v>627830160.1931142</v>
      </c>
      <c r="V142" t="n">
        <v>1</v>
      </c>
      <c r="W142" t="inlineStr">
        <is>
          <t>BALANCE TASAS</t>
        </is>
      </c>
      <c r="Y142" t="inlineStr">
        <is>
          <t>BALANCE TASAS</t>
        </is>
      </c>
      <c r="Z142" t="inlineStr">
        <is>
          <t>HTM</t>
        </is>
      </c>
      <c r="AA142" t="n">
        <v>1</v>
      </c>
    </row>
    <row r="143">
      <c r="A143" s="71" t="n">
        <v>45923</v>
      </c>
      <c r="B143" t="n">
        <v>1</v>
      </c>
      <c r="D143" t="inlineStr">
        <is>
          <t>PAS</t>
        </is>
      </c>
      <c r="E143" t="inlineStr">
        <is>
          <t>CLP</t>
        </is>
      </c>
      <c r="F143" t="inlineStr">
        <is>
          <t>CLP</t>
        </is>
      </c>
      <c r="H143" t="inlineStr">
        <is>
          <t>MT_R13_CTA. VISTA</t>
        </is>
      </c>
      <c r="I143" t="inlineStr">
        <is>
          <t>MT_R13_CTA. VISTA_CORE</t>
        </is>
      </c>
      <c r="K143" t="n">
        <v>65</v>
      </c>
      <c r="M143" s="71" t="n">
        <v>47879</v>
      </c>
      <c r="N143" s="71" t="n">
        <v>47879</v>
      </c>
      <c r="O143" s="71" t="n">
        <v>47879</v>
      </c>
      <c r="P143" t="n">
        <v>618184573.4060975</v>
      </c>
      <c r="V143" t="n">
        <v>1</v>
      </c>
      <c r="W143" t="inlineStr">
        <is>
          <t>BALANCE TASAS</t>
        </is>
      </c>
      <c r="Y143" t="inlineStr">
        <is>
          <t>BALANCE TASAS</t>
        </is>
      </c>
      <c r="Z143" t="inlineStr">
        <is>
          <t>HTM</t>
        </is>
      </c>
      <c r="AA143" t="n">
        <v>1</v>
      </c>
    </row>
    <row r="144">
      <c r="A144" s="71" t="n">
        <v>45923</v>
      </c>
      <c r="B144" t="n">
        <v>1</v>
      </c>
      <c r="D144" t="inlineStr">
        <is>
          <t>PAS</t>
        </is>
      </c>
      <c r="E144" t="inlineStr">
        <is>
          <t>CLP</t>
        </is>
      </c>
      <c r="F144" t="inlineStr">
        <is>
          <t>CLP</t>
        </is>
      </c>
      <c r="H144" t="inlineStr">
        <is>
          <t>MT_R13_CTA. VISTA</t>
        </is>
      </c>
      <c r="I144" t="inlineStr">
        <is>
          <t>MT_R13_CTA. VISTA_CORE</t>
        </is>
      </c>
      <c r="K144" t="n">
        <v>66</v>
      </c>
      <c r="M144" s="71" t="n">
        <v>47907</v>
      </c>
      <c r="N144" s="71" t="n">
        <v>47907</v>
      </c>
      <c r="O144" s="71" t="n">
        <v>47907</v>
      </c>
      <c r="P144" t="n">
        <v>608647363.9987104</v>
      </c>
      <c r="V144" t="n">
        <v>1</v>
      </c>
      <c r="W144" t="inlineStr">
        <is>
          <t>BALANCE TASAS</t>
        </is>
      </c>
      <c r="Y144" t="inlineStr">
        <is>
          <t>BALANCE TASAS</t>
        </is>
      </c>
      <c r="Z144" t="inlineStr">
        <is>
          <t>HTM</t>
        </is>
      </c>
      <c r="AA144" t="n">
        <v>1</v>
      </c>
    </row>
    <row r="145">
      <c r="A145" s="71" t="n">
        <v>45923</v>
      </c>
      <c r="B145" t="n">
        <v>1</v>
      </c>
      <c r="D145" t="inlineStr">
        <is>
          <t>PAS</t>
        </is>
      </c>
      <c r="E145" t="inlineStr">
        <is>
          <t>CLP</t>
        </is>
      </c>
      <c r="F145" t="inlineStr">
        <is>
          <t>CLP</t>
        </is>
      </c>
      <c r="H145" t="inlineStr">
        <is>
          <t>MT_R13_CTA. VISTA</t>
        </is>
      </c>
      <c r="I145" t="inlineStr">
        <is>
          <t>MT_R13_CTA. VISTA_CORE</t>
        </is>
      </c>
      <c r="K145" t="n">
        <v>67</v>
      </c>
      <c r="M145" s="71" t="n">
        <v>47938</v>
      </c>
      <c r="N145" s="71" t="n">
        <v>47938</v>
      </c>
      <c r="O145" s="71" t="n">
        <v>47938</v>
      </c>
      <c r="P145" t="n">
        <v>599326909.350582</v>
      </c>
      <c r="V145" t="n">
        <v>1</v>
      </c>
      <c r="W145" t="inlineStr">
        <is>
          <t>BALANCE TASAS</t>
        </is>
      </c>
      <c r="Y145" t="inlineStr">
        <is>
          <t>BALANCE TASAS</t>
        </is>
      </c>
      <c r="Z145" t="inlineStr">
        <is>
          <t>HTM</t>
        </is>
      </c>
      <c r="AA145" t="n">
        <v>1</v>
      </c>
    </row>
    <row r="146">
      <c r="A146" s="71" t="n">
        <v>45923</v>
      </c>
      <c r="B146" t="n">
        <v>1</v>
      </c>
      <c r="D146" t="inlineStr">
        <is>
          <t>PAS</t>
        </is>
      </c>
      <c r="E146" t="inlineStr">
        <is>
          <t>CLP</t>
        </is>
      </c>
      <c r="F146" t="inlineStr">
        <is>
          <t>CLP</t>
        </is>
      </c>
      <c r="H146" t="inlineStr">
        <is>
          <t>MT_R13_CTA. VISTA</t>
        </is>
      </c>
      <c r="I146" t="inlineStr">
        <is>
          <t>MT_R13_CTA. VISTA_CORE</t>
        </is>
      </c>
      <c r="K146" t="n">
        <v>68</v>
      </c>
      <c r="M146" s="71" t="n">
        <v>47968</v>
      </c>
      <c r="N146" s="71" t="n">
        <v>47968</v>
      </c>
      <c r="O146" s="71" t="n">
        <v>47968</v>
      </c>
      <c r="P146" t="n">
        <v>590006454.7024536</v>
      </c>
      <c r="V146" t="n">
        <v>1</v>
      </c>
      <c r="W146" t="inlineStr">
        <is>
          <t>BALANCE TASAS</t>
        </is>
      </c>
      <c r="Y146" t="inlineStr">
        <is>
          <t>BALANCE TASAS</t>
        </is>
      </c>
      <c r="Z146" t="inlineStr">
        <is>
          <t>HTM</t>
        </is>
      </c>
      <c r="AA146" t="n">
        <v>1</v>
      </c>
    </row>
    <row r="147">
      <c r="A147" s="71" t="n">
        <v>45923</v>
      </c>
      <c r="B147" t="n">
        <v>1</v>
      </c>
      <c r="D147" t="inlineStr">
        <is>
          <t>PAS</t>
        </is>
      </c>
      <c r="E147" t="inlineStr">
        <is>
          <t>CLP</t>
        </is>
      </c>
      <c r="F147" t="inlineStr">
        <is>
          <t>CLP</t>
        </is>
      </c>
      <c r="H147" t="inlineStr">
        <is>
          <t>MT_R13_CTA. VISTA</t>
        </is>
      </c>
      <c r="I147" t="inlineStr">
        <is>
          <t>MT_R13_CTA. VISTA_CORE</t>
        </is>
      </c>
      <c r="K147" t="n">
        <v>69</v>
      </c>
      <c r="M147" s="71" t="n">
        <v>47999</v>
      </c>
      <c r="N147" s="71" t="n">
        <v>47999</v>
      </c>
      <c r="O147" s="71" t="n">
        <v>47999</v>
      </c>
      <c r="P147" t="n">
        <v>581011132.1932133</v>
      </c>
      <c r="V147" t="n">
        <v>1</v>
      </c>
      <c r="W147" t="inlineStr">
        <is>
          <t>BALANCE TASAS</t>
        </is>
      </c>
      <c r="Y147" t="inlineStr">
        <is>
          <t>BALANCE TASAS</t>
        </is>
      </c>
      <c r="Z147" t="inlineStr">
        <is>
          <t>HTM</t>
        </is>
      </c>
      <c r="AA147" t="n">
        <v>1</v>
      </c>
    </row>
    <row r="148">
      <c r="A148" s="71" t="n">
        <v>45923</v>
      </c>
      <c r="B148" t="n">
        <v>1</v>
      </c>
      <c r="D148" t="inlineStr">
        <is>
          <t>PAS</t>
        </is>
      </c>
      <c r="E148" t="inlineStr">
        <is>
          <t>CLP</t>
        </is>
      </c>
      <c r="F148" t="inlineStr">
        <is>
          <t>CLP</t>
        </is>
      </c>
      <c r="H148" t="inlineStr">
        <is>
          <t>MT_R13_CTA. VISTA</t>
        </is>
      </c>
      <c r="I148" t="inlineStr">
        <is>
          <t>MT_R13_CTA. VISTA_CORE</t>
        </is>
      </c>
      <c r="K148" t="n">
        <v>70</v>
      </c>
      <c r="M148" s="71" t="n">
        <v>48029</v>
      </c>
      <c r="N148" s="71" t="n">
        <v>48029</v>
      </c>
      <c r="O148" s="71" t="n">
        <v>48029</v>
      </c>
      <c r="P148" t="n">
        <v>572015809.6839732</v>
      </c>
      <c r="V148" t="n">
        <v>1</v>
      </c>
      <c r="W148" t="inlineStr">
        <is>
          <t>BALANCE TASAS</t>
        </is>
      </c>
      <c r="Y148" t="inlineStr">
        <is>
          <t>BALANCE TASAS</t>
        </is>
      </c>
      <c r="Z148" t="inlineStr">
        <is>
          <t>HTM</t>
        </is>
      </c>
      <c r="AA148" t="n">
        <v>1</v>
      </c>
    </row>
    <row r="149">
      <c r="A149" s="71" t="n">
        <v>45923</v>
      </c>
      <c r="B149" t="n">
        <v>1</v>
      </c>
      <c r="D149" t="inlineStr">
        <is>
          <t>PAS</t>
        </is>
      </c>
      <c r="E149" t="inlineStr">
        <is>
          <t>CLP</t>
        </is>
      </c>
      <c r="F149" t="inlineStr">
        <is>
          <t>CLP</t>
        </is>
      </c>
      <c r="H149" t="inlineStr">
        <is>
          <t>MT_R13_CTA. VISTA</t>
        </is>
      </c>
      <c r="I149" t="inlineStr">
        <is>
          <t>MT_R13_CTA. VISTA_CORE</t>
        </is>
      </c>
      <c r="K149" t="n">
        <v>71</v>
      </c>
      <c r="M149" s="71" t="n">
        <v>48060</v>
      </c>
      <c r="N149" s="71" t="n">
        <v>48060</v>
      </c>
      <c r="O149" s="71" t="n">
        <v>48060</v>
      </c>
      <c r="P149" t="n">
        <v>563237241.9339918</v>
      </c>
      <c r="V149" t="n">
        <v>1</v>
      </c>
      <c r="W149" t="inlineStr">
        <is>
          <t>BALANCE TASAS</t>
        </is>
      </c>
      <c r="Y149" t="inlineStr">
        <is>
          <t>BALANCE TASAS</t>
        </is>
      </c>
      <c r="Z149" t="inlineStr">
        <is>
          <t>HTM</t>
        </is>
      </c>
      <c r="AA149" t="n">
        <v>1</v>
      </c>
    </row>
    <row r="150">
      <c r="A150" s="71" t="n">
        <v>45923</v>
      </c>
      <c r="B150" t="n">
        <v>1</v>
      </c>
      <c r="D150" t="inlineStr">
        <is>
          <t>PAS</t>
        </is>
      </c>
      <c r="E150" t="inlineStr">
        <is>
          <t>CLP</t>
        </is>
      </c>
      <c r="F150" t="inlineStr">
        <is>
          <t>CLP</t>
        </is>
      </c>
      <c r="H150" t="inlineStr">
        <is>
          <t>MT_R13_CTA. VISTA</t>
        </is>
      </c>
      <c r="I150" t="inlineStr">
        <is>
          <t>MT_R13_CTA. VISTA_CORE</t>
        </is>
      </c>
      <c r="K150" t="n">
        <v>72</v>
      </c>
      <c r="M150" s="71" t="n">
        <v>48091</v>
      </c>
      <c r="N150" s="71" t="n">
        <v>48091</v>
      </c>
      <c r="O150" s="71" t="n">
        <v>48091</v>
      </c>
      <c r="P150" t="n">
        <v>554567051.5636398</v>
      </c>
      <c r="V150" t="n">
        <v>1</v>
      </c>
      <c r="W150" t="inlineStr">
        <is>
          <t>BALANCE TASAS</t>
        </is>
      </c>
      <c r="Y150" t="inlineStr">
        <is>
          <t>BALANCE TASAS</t>
        </is>
      </c>
      <c r="Z150" t="inlineStr">
        <is>
          <t>HTM</t>
        </is>
      </c>
      <c r="AA150" t="n">
        <v>1</v>
      </c>
    </row>
    <row r="151">
      <c r="A151" s="71" t="n">
        <v>45923</v>
      </c>
      <c r="B151" t="n">
        <v>1</v>
      </c>
      <c r="D151" t="inlineStr">
        <is>
          <t>PAS</t>
        </is>
      </c>
      <c r="E151" t="inlineStr">
        <is>
          <t>CLP</t>
        </is>
      </c>
      <c r="F151" t="inlineStr">
        <is>
          <t>CLP</t>
        </is>
      </c>
      <c r="H151" t="inlineStr">
        <is>
          <t>MT_R13_CTA. VISTA</t>
        </is>
      </c>
      <c r="I151" t="inlineStr">
        <is>
          <t>MT_R13_CTA. VISTA_CORE</t>
        </is>
      </c>
      <c r="K151" t="n">
        <v>73</v>
      </c>
      <c r="M151" s="71" t="n">
        <v>48121</v>
      </c>
      <c r="N151" s="71" t="n">
        <v>48121</v>
      </c>
      <c r="O151" s="71" t="n">
        <v>48121</v>
      </c>
      <c r="P151" t="n">
        <v>546005238.5729171</v>
      </c>
      <c r="V151" t="n">
        <v>1</v>
      </c>
      <c r="W151" t="inlineStr">
        <is>
          <t>BALANCE TASAS</t>
        </is>
      </c>
      <c r="Y151" t="inlineStr">
        <is>
          <t>BALANCE TASAS</t>
        </is>
      </c>
      <c r="Z151" t="inlineStr">
        <is>
          <t>HTM</t>
        </is>
      </c>
      <c r="AA151" t="n">
        <v>1</v>
      </c>
    </row>
    <row r="152">
      <c r="A152" s="71" t="n">
        <v>45923</v>
      </c>
      <c r="B152" t="n">
        <v>1</v>
      </c>
      <c r="D152" t="inlineStr">
        <is>
          <t>PAS</t>
        </is>
      </c>
      <c r="E152" t="inlineStr">
        <is>
          <t>CLP</t>
        </is>
      </c>
      <c r="F152" t="inlineStr">
        <is>
          <t>CLP</t>
        </is>
      </c>
      <c r="H152" t="inlineStr">
        <is>
          <t>MT_R13_CTA. VISTA</t>
        </is>
      </c>
      <c r="I152" t="inlineStr">
        <is>
          <t>MT_R13_CTA. VISTA_CORE</t>
        </is>
      </c>
      <c r="K152" t="n">
        <v>74</v>
      </c>
      <c r="M152" s="71" t="n">
        <v>48152</v>
      </c>
      <c r="N152" s="71" t="n">
        <v>48152</v>
      </c>
      <c r="O152" s="71" t="n">
        <v>48152</v>
      </c>
      <c r="P152" t="n">
        <v>537660180.3414534</v>
      </c>
      <c r="V152" t="n">
        <v>1</v>
      </c>
      <c r="W152" t="inlineStr">
        <is>
          <t>BALANCE TASAS</t>
        </is>
      </c>
      <c r="Y152" t="inlineStr">
        <is>
          <t>BALANCE TASAS</t>
        </is>
      </c>
      <c r="Z152" t="inlineStr">
        <is>
          <t>HTM</t>
        </is>
      </c>
      <c r="AA152" t="n">
        <v>1</v>
      </c>
    </row>
    <row r="153">
      <c r="A153" s="71" t="n">
        <v>45923</v>
      </c>
      <c r="B153" t="n">
        <v>1</v>
      </c>
      <c r="D153" t="inlineStr">
        <is>
          <t>PAS</t>
        </is>
      </c>
      <c r="E153" t="inlineStr">
        <is>
          <t>CLP</t>
        </is>
      </c>
      <c r="F153" t="inlineStr">
        <is>
          <t>CLP</t>
        </is>
      </c>
      <c r="H153" t="inlineStr">
        <is>
          <t>MT_R13_CTA. VISTA</t>
        </is>
      </c>
      <c r="I153" t="inlineStr">
        <is>
          <t>MT_R13_CTA. VISTA_CORE</t>
        </is>
      </c>
      <c r="K153" t="n">
        <v>75</v>
      </c>
      <c r="M153" s="71" t="n">
        <v>48182</v>
      </c>
      <c r="N153" s="71" t="n">
        <v>48182</v>
      </c>
      <c r="O153" s="71" t="n">
        <v>48182</v>
      </c>
      <c r="P153" t="n">
        <v>529423499.4896189</v>
      </c>
      <c r="V153" t="n">
        <v>1</v>
      </c>
      <c r="W153" t="inlineStr">
        <is>
          <t>BALANCE TASAS</t>
        </is>
      </c>
      <c r="Y153" t="inlineStr">
        <is>
          <t>BALANCE TASAS</t>
        </is>
      </c>
      <c r="Z153" t="inlineStr">
        <is>
          <t>HTM</t>
        </is>
      </c>
      <c r="AA153" t="n">
        <v>1</v>
      </c>
    </row>
    <row r="154">
      <c r="A154" s="71" t="n">
        <v>45923</v>
      </c>
      <c r="B154" t="n">
        <v>1</v>
      </c>
      <c r="D154" t="inlineStr">
        <is>
          <t>PAS</t>
        </is>
      </c>
      <c r="E154" t="inlineStr">
        <is>
          <t>CLP</t>
        </is>
      </c>
      <c r="F154" t="inlineStr">
        <is>
          <t>CLP</t>
        </is>
      </c>
      <c r="H154" t="inlineStr">
        <is>
          <t>MT_R13_CTA. VISTA</t>
        </is>
      </c>
      <c r="I154" t="inlineStr">
        <is>
          <t>MT_R13_CTA. VISTA_CORE</t>
        </is>
      </c>
      <c r="K154" t="n">
        <v>76</v>
      </c>
      <c r="M154" s="71" t="n">
        <v>48213</v>
      </c>
      <c r="N154" s="71" t="n">
        <v>48213</v>
      </c>
      <c r="O154" s="71" t="n">
        <v>48213</v>
      </c>
      <c r="P154" t="n">
        <v>521295196.017414</v>
      </c>
      <c r="V154" t="n">
        <v>1</v>
      </c>
      <c r="W154" t="inlineStr">
        <is>
          <t>BALANCE TASAS</t>
        </is>
      </c>
      <c r="Y154" t="inlineStr">
        <is>
          <t>BALANCE TASAS</t>
        </is>
      </c>
      <c r="Z154" t="inlineStr">
        <is>
          <t>HTM</t>
        </is>
      </c>
      <c r="AA154" t="n">
        <v>1</v>
      </c>
    </row>
    <row r="155">
      <c r="A155" s="71" t="n">
        <v>45923</v>
      </c>
      <c r="B155" t="n">
        <v>1</v>
      </c>
      <c r="D155" t="inlineStr">
        <is>
          <t>PAS</t>
        </is>
      </c>
      <c r="E155" t="inlineStr">
        <is>
          <t>CLP</t>
        </is>
      </c>
      <c r="F155" t="inlineStr">
        <is>
          <t>CLP</t>
        </is>
      </c>
      <c r="H155" t="inlineStr">
        <is>
          <t>MT_R13_CTA. VISTA</t>
        </is>
      </c>
      <c r="I155" t="inlineStr">
        <is>
          <t>MT_R13_CTA. VISTA_CORE</t>
        </is>
      </c>
      <c r="K155" t="n">
        <v>77</v>
      </c>
      <c r="M155" s="71" t="n">
        <v>48244</v>
      </c>
      <c r="N155" s="71" t="n">
        <v>48244</v>
      </c>
      <c r="O155" s="71" t="n">
        <v>48244</v>
      </c>
      <c r="P155" t="n">
        <v>513275269.9248384</v>
      </c>
      <c r="V155" t="n">
        <v>1</v>
      </c>
      <c r="W155" t="inlineStr">
        <is>
          <t>BALANCE TASAS</t>
        </is>
      </c>
      <c r="Y155" t="inlineStr">
        <is>
          <t>BALANCE TASAS</t>
        </is>
      </c>
      <c r="Z155" t="inlineStr">
        <is>
          <t>HTM</t>
        </is>
      </c>
      <c r="AA155" t="n">
        <v>1</v>
      </c>
    </row>
    <row r="156">
      <c r="A156" s="71" t="n">
        <v>45923</v>
      </c>
      <c r="B156" t="n">
        <v>1</v>
      </c>
      <c r="D156" t="inlineStr">
        <is>
          <t>PAS</t>
        </is>
      </c>
      <c r="E156" t="inlineStr">
        <is>
          <t>CLP</t>
        </is>
      </c>
      <c r="F156" t="inlineStr">
        <is>
          <t>CLP</t>
        </is>
      </c>
      <c r="H156" t="inlineStr">
        <is>
          <t>MT_R13_CTA. VISTA</t>
        </is>
      </c>
      <c r="I156" t="inlineStr">
        <is>
          <t>MT_R13_CTA. VISTA_CORE</t>
        </is>
      </c>
      <c r="K156" t="n">
        <v>78</v>
      </c>
      <c r="M156" s="71" t="n">
        <v>48273</v>
      </c>
      <c r="N156" s="71" t="n">
        <v>48273</v>
      </c>
      <c r="O156" s="71" t="n">
        <v>48273</v>
      </c>
      <c r="P156" t="n">
        <v>505363721.2118921</v>
      </c>
      <c r="V156" t="n">
        <v>1</v>
      </c>
      <c r="W156" t="inlineStr">
        <is>
          <t>BALANCE TASAS</t>
        </is>
      </c>
      <c r="Y156" t="inlineStr">
        <is>
          <t>BALANCE TASAS</t>
        </is>
      </c>
      <c r="Z156" t="inlineStr">
        <is>
          <t>HTM</t>
        </is>
      </c>
      <c r="AA156" t="n">
        <v>1</v>
      </c>
    </row>
    <row r="157">
      <c r="A157" s="71" t="n">
        <v>45923</v>
      </c>
      <c r="B157" t="n">
        <v>1</v>
      </c>
      <c r="D157" t="inlineStr">
        <is>
          <t>PAS</t>
        </is>
      </c>
      <c r="E157" t="inlineStr">
        <is>
          <t>CLP</t>
        </is>
      </c>
      <c r="F157" t="inlineStr">
        <is>
          <t>CLP</t>
        </is>
      </c>
      <c r="H157" t="inlineStr">
        <is>
          <t>MT_R13_CTA. VISTA</t>
        </is>
      </c>
      <c r="I157" t="inlineStr">
        <is>
          <t>MT_R13_CTA. VISTA_CORE</t>
        </is>
      </c>
      <c r="K157" t="n">
        <v>79</v>
      </c>
      <c r="M157" s="71" t="n">
        <v>48304</v>
      </c>
      <c r="N157" s="71" t="n">
        <v>48304</v>
      </c>
      <c r="O157" s="71" t="n">
        <v>48304</v>
      </c>
      <c r="P157" t="n">
        <v>497560549.8785753</v>
      </c>
      <c r="V157" t="n">
        <v>1</v>
      </c>
      <c r="W157" t="inlineStr">
        <is>
          <t>BALANCE TASAS</t>
        </is>
      </c>
      <c r="Y157" t="inlineStr">
        <is>
          <t>BALANCE TASAS</t>
        </is>
      </c>
      <c r="Z157" t="inlineStr">
        <is>
          <t>HTM</t>
        </is>
      </c>
      <c r="AA157" t="n">
        <v>1</v>
      </c>
    </row>
    <row r="158">
      <c r="A158" s="71" t="n">
        <v>45923</v>
      </c>
      <c r="B158" t="n">
        <v>1</v>
      </c>
      <c r="D158" t="inlineStr">
        <is>
          <t>PAS</t>
        </is>
      </c>
      <c r="E158" t="inlineStr">
        <is>
          <t>CLP</t>
        </is>
      </c>
      <c r="F158" t="inlineStr">
        <is>
          <t>CLP</t>
        </is>
      </c>
      <c r="H158" t="inlineStr">
        <is>
          <t>MT_R13_CTA. VISTA</t>
        </is>
      </c>
      <c r="I158" t="inlineStr">
        <is>
          <t>MT_R13_CTA. VISTA_CORE</t>
        </is>
      </c>
      <c r="K158" t="n">
        <v>80</v>
      </c>
      <c r="M158" s="71" t="n">
        <v>48334</v>
      </c>
      <c r="N158" s="71" t="n">
        <v>48334</v>
      </c>
      <c r="O158" s="71" t="n">
        <v>48334</v>
      </c>
      <c r="P158" t="n">
        <v>489865755.924888</v>
      </c>
      <c r="V158" t="n">
        <v>1</v>
      </c>
      <c r="W158" t="inlineStr">
        <is>
          <t>BALANCE TASAS</t>
        </is>
      </c>
      <c r="Y158" t="inlineStr">
        <is>
          <t>BALANCE TASAS</t>
        </is>
      </c>
      <c r="Z158" t="inlineStr">
        <is>
          <t>HTM</t>
        </is>
      </c>
      <c r="AA158" t="n">
        <v>1</v>
      </c>
    </row>
    <row r="159">
      <c r="A159" s="71" t="n">
        <v>45923</v>
      </c>
      <c r="B159" t="n">
        <v>1</v>
      </c>
      <c r="D159" t="inlineStr">
        <is>
          <t>PAS</t>
        </is>
      </c>
      <c r="E159" t="inlineStr">
        <is>
          <t>CLP</t>
        </is>
      </c>
      <c r="F159" t="inlineStr">
        <is>
          <t>CLP</t>
        </is>
      </c>
      <c r="H159" t="inlineStr">
        <is>
          <t>MT_R13_CTA. VISTA</t>
        </is>
      </c>
      <c r="I159" t="inlineStr">
        <is>
          <t>MT_R13_CTA. VISTA_CORE</t>
        </is>
      </c>
      <c r="K159" t="n">
        <v>81</v>
      </c>
      <c r="M159" s="71" t="n">
        <v>48365</v>
      </c>
      <c r="N159" s="71" t="n">
        <v>48365</v>
      </c>
      <c r="O159" s="71" t="n">
        <v>48365</v>
      </c>
      <c r="P159" t="n">
        <v>482387716.7304594</v>
      </c>
      <c r="V159" t="n">
        <v>1</v>
      </c>
      <c r="W159" t="inlineStr">
        <is>
          <t>BALANCE TASAS</t>
        </is>
      </c>
      <c r="Y159" t="inlineStr">
        <is>
          <t>BALANCE TASAS</t>
        </is>
      </c>
      <c r="Z159" t="inlineStr">
        <is>
          <t>HTM</t>
        </is>
      </c>
      <c r="AA159" t="n">
        <v>1</v>
      </c>
    </row>
    <row r="160">
      <c r="A160" s="71" t="n">
        <v>45923</v>
      </c>
      <c r="B160" t="n">
        <v>1</v>
      </c>
      <c r="D160" t="inlineStr">
        <is>
          <t>PAS</t>
        </is>
      </c>
      <c r="E160" t="inlineStr">
        <is>
          <t>CLP</t>
        </is>
      </c>
      <c r="F160" t="inlineStr">
        <is>
          <t>CLP</t>
        </is>
      </c>
      <c r="H160" t="inlineStr">
        <is>
          <t>MT_R13_CTA. VISTA</t>
        </is>
      </c>
      <c r="I160" t="inlineStr">
        <is>
          <t>MT_R13_CTA. VISTA_CORE</t>
        </is>
      </c>
      <c r="K160" t="n">
        <v>82</v>
      </c>
      <c r="M160" s="71" t="n">
        <v>48395</v>
      </c>
      <c r="N160" s="71" t="n">
        <v>48395</v>
      </c>
      <c r="O160" s="71" t="n">
        <v>48395</v>
      </c>
      <c r="P160" t="n">
        <v>474909677.5360307</v>
      </c>
      <c r="V160" t="n">
        <v>1</v>
      </c>
      <c r="W160" t="inlineStr">
        <is>
          <t>BALANCE TASAS</t>
        </is>
      </c>
      <c r="Y160" t="inlineStr">
        <is>
          <t>BALANCE TASAS</t>
        </is>
      </c>
      <c r="Z160" t="inlineStr">
        <is>
          <t>HTM</t>
        </is>
      </c>
      <c r="AA160" t="n">
        <v>1</v>
      </c>
    </row>
    <row r="161">
      <c r="A161" s="71" t="n">
        <v>45923</v>
      </c>
      <c r="B161" t="n">
        <v>1</v>
      </c>
      <c r="D161" t="inlineStr">
        <is>
          <t>PAS</t>
        </is>
      </c>
      <c r="E161" t="inlineStr">
        <is>
          <t>CLP</t>
        </is>
      </c>
      <c r="F161" t="inlineStr">
        <is>
          <t>CLP</t>
        </is>
      </c>
      <c r="H161" t="inlineStr">
        <is>
          <t>MT_R13_CTA. VISTA</t>
        </is>
      </c>
      <c r="I161" t="inlineStr">
        <is>
          <t>MT_R13_CTA. VISTA_CORE</t>
        </is>
      </c>
      <c r="K161" t="n">
        <v>83</v>
      </c>
      <c r="M161" s="71" t="n">
        <v>48426</v>
      </c>
      <c r="N161" s="71" t="n">
        <v>48426</v>
      </c>
      <c r="O161" s="71" t="n">
        <v>48426</v>
      </c>
      <c r="P161" t="n">
        <v>467648393.100861</v>
      </c>
      <c r="V161" t="n">
        <v>1</v>
      </c>
      <c r="W161" t="inlineStr">
        <is>
          <t>BALANCE TASAS</t>
        </is>
      </c>
      <c r="Y161" t="inlineStr">
        <is>
          <t>BALANCE TASAS</t>
        </is>
      </c>
      <c r="Z161" t="inlineStr">
        <is>
          <t>HTM</t>
        </is>
      </c>
      <c r="AA161" t="n">
        <v>1</v>
      </c>
    </row>
    <row r="162">
      <c r="A162" s="71" t="n">
        <v>45923</v>
      </c>
      <c r="B162" t="n">
        <v>1</v>
      </c>
      <c r="D162" t="inlineStr">
        <is>
          <t>PAS</t>
        </is>
      </c>
      <c r="E162" t="inlineStr">
        <is>
          <t>CLP</t>
        </is>
      </c>
      <c r="F162" t="inlineStr">
        <is>
          <t>CLP</t>
        </is>
      </c>
      <c r="H162" t="inlineStr">
        <is>
          <t>MT_R13_CTA. VISTA</t>
        </is>
      </c>
      <c r="I162" t="inlineStr">
        <is>
          <t>MT_R13_CTA. VISTA_CORE</t>
        </is>
      </c>
      <c r="K162" t="n">
        <v>84</v>
      </c>
      <c r="M162" s="71" t="n">
        <v>48457</v>
      </c>
      <c r="N162" s="71" t="n">
        <v>48457</v>
      </c>
      <c r="O162" s="71" t="n">
        <v>48457</v>
      </c>
      <c r="P162" t="n">
        <v>460495486.0453206</v>
      </c>
      <c r="V162" t="n">
        <v>1</v>
      </c>
      <c r="W162" t="inlineStr">
        <is>
          <t>BALANCE TASAS</t>
        </is>
      </c>
      <c r="Y162" t="inlineStr">
        <is>
          <t>BALANCE TASAS</t>
        </is>
      </c>
      <c r="Z162" t="inlineStr">
        <is>
          <t>HTM</t>
        </is>
      </c>
      <c r="AA162" t="n">
        <v>1</v>
      </c>
    </row>
    <row r="163">
      <c r="A163" s="71" t="n">
        <v>45923</v>
      </c>
      <c r="B163" t="n">
        <v>1</v>
      </c>
      <c r="D163" t="inlineStr">
        <is>
          <t>PAS</t>
        </is>
      </c>
      <c r="E163" t="inlineStr">
        <is>
          <t>CLP</t>
        </is>
      </c>
      <c r="F163" t="inlineStr">
        <is>
          <t>CLP</t>
        </is>
      </c>
      <c r="H163" t="inlineStr">
        <is>
          <t>MT_R13_CTA. VISTA</t>
        </is>
      </c>
      <c r="I163" t="inlineStr">
        <is>
          <t>MT_R13_CTA. VISTA_CORE</t>
        </is>
      </c>
      <c r="K163" t="n">
        <v>85</v>
      </c>
      <c r="M163" s="71" t="n">
        <v>48487</v>
      </c>
      <c r="N163" s="71" t="n">
        <v>48487</v>
      </c>
      <c r="O163" s="71" t="n">
        <v>48487</v>
      </c>
      <c r="P163" t="n">
        <v>453342578.9897802</v>
      </c>
      <c r="V163" t="n">
        <v>1</v>
      </c>
      <c r="W163" t="inlineStr">
        <is>
          <t>BALANCE TASAS</t>
        </is>
      </c>
      <c r="Y163" t="inlineStr">
        <is>
          <t>BALANCE TASAS</t>
        </is>
      </c>
      <c r="Z163" t="inlineStr">
        <is>
          <t>HTM</t>
        </is>
      </c>
      <c r="AA163" t="n">
        <v>1</v>
      </c>
    </row>
    <row r="164">
      <c r="A164" s="71" t="n">
        <v>45923</v>
      </c>
      <c r="B164" t="n">
        <v>1</v>
      </c>
      <c r="D164" t="inlineStr">
        <is>
          <t>PAS</t>
        </is>
      </c>
      <c r="E164" t="inlineStr">
        <is>
          <t>CLP</t>
        </is>
      </c>
      <c r="F164" t="inlineStr">
        <is>
          <t>CLP</t>
        </is>
      </c>
      <c r="H164" t="inlineStr">
        <is>
          <t>MT_R13_CTA. VISTA</t>
        </is>
      </c>
      <c r="I164" t="inlineStr">
        <is>
          <t>MT_R13_CTA. VISTA_CORE</t>
        </is>
      </c>
      <c r="K164" t="n">
        <v>86</v>
      </c>
      <c r="M164" s="71" t="n">
        <v>48518</v>
      </c>
      <c r="N164" s="71" t="n">
        <v>48518</v>
      </c>
      <c r="O164" s="71" t="n">
        <v>48518</v>
      </c>
      <c r="P164" t="n">
        <v>446406426.6934986</v>
      </c>
      <c r="V164" t="n">
        <v>1</v>
      </c>
      <c r="W164" t="inlineStr">
        <is>
          <t>BALANCE TASAS</t>
        </is>
      </c>
      <c r="Y164" t="inlineStr">
        <is>
          <t>BALANCE TASAS</t>
        </is>
      </c>
      <c r="Z164" t="inlineStr">
        <is>
          <t>HTM</t>
        </is>
      </c>
      <c r="AA164" t="n">
        <v>1</v>
      </c>
    </row>
    <row r="165">
      <c r="A165" s="71" t="n">
        <v>45923</v>
      </c>
      <c r="B165" t="n">
        <v>1</v>
      </c>
      <c r="D165" t="inlineStr">
        <is>
          <t>PAS</t>
        </is>
      </c>
      <c r="E165" t="inlineStr">
        <is>
          <t>CLP</t>
        </is>
      </c>
      <c r="F165" t="inlineStr">
        <is>
          <t>CLP</t>
        </is>
      </c>
      <c r="H165" t="inlineStr">
        <is>
          <t>MT_R13_CTA. VISTA</t>
        </is>
      </c>
      <c r="I165" t="inlineStr">
        <is>
          <t>MT_R13_CTA. VISTA_CORE</t>
        </is>
      </c>
      <c r="K165" t="n">
        <v>87</v>
      </c>
      <c r="M165" s="71" t="n">
        <v>48548</v>
      </c>
      <c r="N165" s="71" t="n">
        <v>48548</v>
      </c>
      <c r="O165" s="71" t="n">
        <v>48548</v>
      </c>
      <c r="P165" t="n">
        <v>439578651.7768463</v>
      </c>
      <c r="V165" t="n">
        <v>1</v>
      </c>
      <c r="W165" t="inlineStr">
        <is>
          <t>BALANCE TASAS</t>
        </is>
      </c>
      <c r="Y165" t="inlineStr">
        <is>
          <t>BALANCE TASAS</t>
        </is>
      </c>
      <c r="Z165" t="inlineStr">
        <is>
          <t>HTM</t>
        </is>
      </c>
      <c r="AA165" t="n">
        <v>1</v>
      </c>
    </row>
    <row r="166">
      <c r="A166" s="71" t="n">
        <v>45923</v>
      </c>
      <c r="B166" t="n">
        <v>1</v>
      </c>
      <c r="D166" t="inlineStr">
        <is>
          <t>PAS</t>
        </is>
      </c>
      <c r="E166" t="inlineStr">
        <is>
          <t>CLP</t>
        </is>
      </c>
      <c r="F166" t="inlineStr">
        <is>
          <t>CLP</t>
        </is>
      </c>
      <c r="H166" t="inlineStr">
        <is>
          <t>MT_R13_CTA. VISTA</t>
        </is>
      </c>
      <c r="I166" t="inlineStr">
        <is>
          <t>MT_R13_CTA. VISTA_CORE</t>
        </is>
      </c>
      <c r="K166" t="n">
        <v>88</v>
      </c>
      <c r="M166" s="71" t="n">
        <v>48579</v>
      </c>
      <c r="N166" s="71" t="n">
        <v>48579</v>
      </c>
      <c r="O166" s="71" t="n">
        <v>48579</v>
      </c>
      <c r="P166" t="n">
        <v>432750876.8601942</v>
      </c>
      <c r="V166" t="n">
        <v>1</v>
      </c>
      <c r="W166" t="inlineStr">
        <is>
          <t>BALANCE TASAS</t>
        </is>
      </c>
      <c r="Y166" t="inlineStr">
        <is>
          <t>BALANCE TASAS</t>
        </is>
      </c>
      <c r="Z166" t="inlineStr">
        <is>
          <t>HTM</t>
        </is>
      </c>
      <c r="AA166" t="n">
        <v>1</v>
      </c>
    </row>
    <row r="167">
      <c r="A167" s="71" t="n">
        <v>45923</v>
      </c>
      <c r="B167" t="n">
        <v>1</v>
      </c>
      <c r="D167" t="inlineStr">
        <is>
          <t>PAS</t>
        </is>
      </c>
      <c r="E167" t="inlineStr">
        <is>
          <t>CLP</t>
        </is>
      </c>
      <c r="F167" t="inlineStr">
        <is>
          <t>CLP</t>
        </is>
      </c>
      <c r="H167" t="inlineStr">
        <is>
          <t>MT_R13_CTA. VISTA</t>
        </is>
      </c>
      <c r="I167" t="inlineStr">
        <is>
          <t>MT_R13_CTA. VISTA_CORE</t>
        </is>
      </c>
      <c r="K167" t="n">
        <v>89</v>
      </c>
      <c r="M167" s="71" t="n">
        <v>48610</v>
      </c>
      <c r="N167" s="71" t="n">
        <v>48610</v>
      </c>
      <c r="O167" s="71" t="n">
        <v>48610</v>
      </c>
      <c r="P167" t="n">
        <v>426139856.7028008</v>
      </c>
      <c r="V167" t="n">
        <v>1</v>
      </c>
      <c r="W167" t="inlineStr">
        <is>
          <t>BALANCE TASAS</t>
        </is>
      </c>
      <c r="Y167" t="inlineStr">
        <is>
          <t>BALANCE TASAS</t>
        </is>
      </c>
      <c r="Z167" t="inlineStr">
        <is>
          <t>HTM</t>
        </is>
      </c>
      <c r="AA167" t="n">
        <v>1</v>
      </c>
    </row>
    <row r="168">
      <c r="A168" s="71" t="n">
        <v>45923</v>
      </c>
      <c r="B168" t="n">
        <v>1</v>
      </c>
      <c r="D168" t="inlineStr">
        <is>
          <t>PAS</t>
        </is>
      </c>
      <c r="E168" t="inlineStr">
        <is>
          <t>CLP</t>
        </is>
      </c>
      <c r="F168" t="inlineStr">
        <is>
          <t>CLP</t>
        </is>
      </c>
      <c r="H168" t="inlineStr">
        <is>
          <t>MT_R13_CTA. VISTA</t>
        </is>
      </c>
      <c r="I168" t="inlineStr">
        <is>
          <t>MT_R13_CTA. VISTA_CORE</t>
        </is>
      </c>
      <c r="K168" t="n">
        <v>90</v>
      </c>
      <c r="M168" s="71" t="n">
        <v>48638</v>
      </c>
      <c r="N168" s="71" t="n">
        <v>48638</v>
      </c>
      <c r="O168" s="71" t="n">
        <v>48638</v>
      </c>
      <c r="P168" t="n">
        <v>419528836.5454074</v>
      </c>
      <c r="V168" t="n">
        <v>1</v>
      </c>
      <c r="W168" t="inlineStr">
        <is>
          <t>BALANCE TASAS</t>
        </is>
      </c>
      <c r="Y168" t="inlineStr">
        <is>
          <t>BALANCE TASAS</t>
        </is>
      </c>
      <c r="Z168" t="inlineStr">
        <is>
          <t>HTM</t>
        </is>
      </c>
      <c r="AA168" t="n">
        <v>1</v>
      </c>
    </row>
    <row r="169">
      <c r="A169" s="71" t="n">
        <v>45923</v>
      </c>
      <c r="B169" t="n">
        <v>1</v>
      </c>
      <c r="D169" t="inlineStr">
        <is>
          <t>PAS</t>
        </is>
      </c>
      <c r="E169" t="inlineStr">
        <is>
          <t>CLP</t>
        </is>
      </c>
      <c r="F169" t="inlineStr">
        <is>
          <t>CLP</t>
        </is>
      </c>
      <c r="H169" t="inlineStr">
        <is>
          <t>MT_R13_CTA. VISTA</t>
        </is>
      </c>
      <c r="I169" t="inlineStr">
        <is>
          <t>MT_R13_CTA. VISTA_CORE</t>
        </is>
      </c>
      <c r="K169" t="n">
        <v>91</v>
      </c>
      <c r="M169" s="71" t="n">
        <v>48669</v>
      </c>
      <c r="N169" s="71" t="n">
        <v>48669</v>
      </c>
      <c r="O169" s="71" t="n">
        <v>48669</v>
      </c>
      <c r="P169" t="n">
        <v>413134571.1472728</v>
      </c>
      <c r="V169" t="n">
        <v>1</v>
      </c>
      <c r="W169" t="inlineStr">
        <is>
          <t>BALANCE TASAS</t>
        </is>
      </c>
      <c r="Y169" t="inlineStr">
        <is>
          <t>BALANCE TASAS</t>
        </is>
      </c>
      <c r="Z169" t="inlineStr">
        <is>
          <t>HTM</t>
        </is>
      </c>
      <c r="AA169" t="n">
        <v>1</v>
      </c>
    </row>
    <row r="170">
      <c r="A170" s="71" t="n">
        <v>45923</v>
      </c>
      <c r="B170" t="n">
        <v>1</v>
      </c>
      <c r="D170" t="inlineStr">
        <is>
          <t>PAS</t>
        </is>
      </c>
      <c r="E170" t="inlineStr">
        <is>
          <t>CLP</t>
        </is>
      </c>
      <c r="F170" t="inlineStr">
        <is>
          <t>CLP</t>
        </is>
      </c>
      <c r="H170" t="inlineStr">
        <is>
          <t>MT_R13_CTA. VISTA</t>
        </is>
      </c>
      <c r="I170" t="inlineStr">
        <is>
          <t>MT_R13_CTA. VISTA_CORE</t>
        </is>
      </c>
      <c r="K170" t="n">
        <v>92</v>
      </c>
      <c r="M170" s="71" t="n">
        <v>48699</v>
      </c>
      <c r="N170" s="71" t="n">
        <v>48699</v>
      </c>
      <c r="O170" s="71" t="n">
        <v>48699</v>
      </c>
      <c r="P170" t="n">
        <v>406740305.7491382</v>
      </c>
      <c r="V170" t="n">
        <v>1</v>
      </c>
      <c r="W170" t="inlineStr">
        <is>
          <t>BALANCE TASAS</t>
        </is>
      </c>
      <c r="Y170" t="inlineStr">
        <is>
          <t>BALANCE TASAS</t>
        </is>
      </c>
      <c r="Z170" t="inlineStr">
        <is>
          <t>HTM</t>
        </is>
      </c>
      <c r="AA170" t="n">
        <v>1</v>
      </c>
    </row>
    <row r="171">
      <c r="A171" s="71" t="n">
        <v>45923</v>
      </c>
      <c r="B171" t="n">
        <v>1</v>
      </c>
      <c r="D171" t="inlineStr">
        <is>
          <t>PAS</t>
        </is>
      </c>
      <c r="E171" t="inlineStr">
        <is>
          <t>CLP</t>
        </is>
      </c>
      <c r="F171" t="inlineStr">
        <is>
          <t>CLP</t>
        </is>
      </c>
      <c r="H171" t="inlineStr">
        <is>
          <t>MT_R13_CTA. VISTA</t>
        </is>
      </c>
      <c r="I171" t="inlineStr">
        <is>
          <t>MT_R13_CTA. VISTA_CORE</t>
        </is>
      </c>
      <c r="K171" t="n">
        <v>93</v>
      </c>
      <c r="M171" s="71" t="n">
        <v>48730</v>
      </c>
      <c r="N171" s="71" t="n">
        <v>48730</v>
      </c>
      <c r="O171" s="71" t="n">
        <v>48730</v>
      </c>
      <c r="P171" t="n">
        <v>400454417.730633</v>
      </c>
      <c r="V171" t="n">
        <v>1</v>
      </c>
      <c r="W171" t="inlineStr">
        <is>
          <t>BALANCE TASAS</t>
        </is>
      </c>
      <c r="Y171" t="inlineStr">
        <is>
          <t>BALANCE TASAS</t>
        </is>
      </c>
      <c r="Z171" t="inlineStr">
        <is>
          <t>HTM</t>
        </is>
      </c>
      <c r="AA171" t="n">
        <v>1</v>
      </c>
    </row>
    <row r="172">
      <c r="A172" s="71" t="n">
        <v>45923</v>
      </c>
      <c r="B172" t="n">
        <v>1</v>
      </c>
      <c r="D172" t="inlineStr">
        <is>
          <t>PAS</t>
        </is>
      </c>
      <c r="E172" t="inlineStr">
        <is>
          <t>CLP</t>
        </is>
      </c>
      <c r="F172" t="inlineStr">
        <is>
          <t>CLP</t>
        </is>
      </c>
      <c r="H172" t="inlineStr">
        <is>
          <t>MT_R13_CTA. VISTA</t>
        </is>
      </c>
      <c r="I172" t="inlineStr">
        <is>
          <t>MT_R13_CTA. VISTA_CORE</t>
        </is>
      </c>
      <c r="K172" t="n">
        <v>94</v>
      </c>
      <c r="M172" s="71" t="n">
        <v>48760</v>
      </c>
      <c r="N172" s="71" t="n">
        <v>48760</v>
      </c>
      <c r="O172" s="71" t="n">
        <v>48760</v>
      </c>
      <c r="P172" t="n">
        <v>394385284.4713866</v>
      </c>
      <c r="V172" t="n">
        <v>1</v>
      </c>
      <c r="W172" t="inlineStr">
        <is>
          <t>BALANCE TASAS</t>
        </is>
      </c>
      <c r="Y172" t="inlineStr">
        <is>
          <t>BALANCE TASAS</t>
        </is>
      </c>
      <c r="Z172" t="inlineStr">
        <is>
          <t>HTM</t>
        </is>
      </c>
      <c r="AA172" t="n">
        <v>1</v>
      </c>
    </row>
    <row r="173">
      <c r="A173" s="71" t="n">
        <v>45923</v>
      </c>
      <c r="B173" t="n">
        <v>1</v>
      </c>
      <c r="D173" t="inlineStr">
        <is>
          <t>PAS</t>
        </is>
      </c>
      <c r="E173" t="inlineStr">
        <is>
          <t>CLP</t>
        </is>
      </c>
      <c r="F173" t="inlineStr">
        <is>
          <t>CLP</t>
        </is>
      </c>
      <c r="H173" t="inlineStr">
        <is>
          <t>MT_R13_CTA. VISTA</t>
        </is>
      </c>
      <c r="I173" t="inlineStr">
        <is>
          <t>MT_R13_CTA. VISTA_CORE</t>
        </is>
      </c>
      <c r="K173" t="n">
        <v>95</v>
      </c>
      <c r="M173" s="71" t="n">
        <v>48791</v>
      </c>
      <c r="N173" s="71" t="n">
        <v>48791</v>
      </c>
      <c r="O173" s="71" t="n">
        <v>48791</v>
      </c>
      <c r="P173" t="n">
        <v>388316151.2121401</v>
      </c>
      <c r="V173" t="n">
        <v>1</v>
      </c>
      <c r="W173" t="inlineStr">
        <is>
          <t>BALANCE TASAS</t>
        </is>
      </c>
      <c r="Y173" t="inlineStr">
        <is>
          <t>BALANCE TASAS</t>
        </is>
      </c>
      <c r="Z173" t="inlineStr">
        <is>
          <t>HTM</t>
        </is>
      </c>
      <c r="AA173" t="n">
        <v>1</v>
      </c>
    </row>
    <row r="174">
      <c r="A174" s="71" t="n">
        <v>45923</v>
      </c>
      <c r="B174" t="n">
        <v>1</v>
      </c>
      <c r="D174" t="inlineStr">
        <is>
          <t>PAS</t>
        </is>
      </c>
      <c r="E174" t="inlineStr">
        <is>
          <t>CLP</t>
        </is>
      </c>
      <c r="F174" t="inlineStr">
        <is>
          <t>CLP</t>
        </is>
      </c>
      <c r="H174" t="inlineStr">
        <is>
          <t>MT_R13_CTA. VISTA</t>
        </is>
      </c>
      <c r="I174" t="inlineStr">
        <is>
          <t>MT_R13_CTA. VISTA_CORE</t>
        </is>
      </c>
      <c r="K174" t="n">
        <v>96</v>
      </c>
      <c r="M174" s="71" t="n">
        <v>48822</v>
      </c>
      <c r="N174" s="71" t="n">
        <v>48822</v>
      </c>
      <c r="O174" s="71" t="n">
        <v>48822</v>
      </c>
      <c r="P174" t="n">
        <v>382355395.3325232</v>
      </c>
      <c r="V174" t="n">
        <v>1</v>
      </c>
      <c r="W174" t="inlineStr">
        <is>
          <t>BALANCE TASAS</t>
        </is>
      </c>
      <c r="Y174" t="inlineStr">
        <is>
          <t>BALANCE TASAS</t>
        </is>
      </c>
      <c r="Z174" t="inlineStr">
        <is>
          <t>HTM</t>
        </is>
      </c>
      <c r="AA174" t="n">
        <v>1</v>
      </c>
    </row>
    <row r="175">
      <c r="A175" s="71" t="n">
        <v>45923</v>
      </c>
      <c r="B175" t="n">
        <v>1</v>
      </c>
      <c r="D175" t="inlineStr">
        <is>
          <t>PAS</t>
        </is>
      </c>
      <c r="E175" t="inlineStr">
        <is>
          <t>CLP</t>
        </is>
      </c>
      <c r="F175" t="inlineStr">
        <is>
          <t>CLP</t>
        </is>
      </c>
      <c r="H175" t="inlineStr">
        <is>
          <t>MT_R13_CTA. VISTA</t>
        </is>
      </c>
      <c r="I175" t="inlineStr">
        <is>
          <t>MT_R13_CTA. VISTA_CORE</t>
        </is>
      </c>
      <c r="K175" t="n">
        <v>97</v>
      </c>
      <c r="M175" s="71" t="n">
        <v>48852</v>
      </c>
      <c r="N175" s="71" t="n">
        <v>48852</v>
      </c>
      <c r="O175" s="71" t="n">
        <v>48852</v>
      </c>
      <c r="P175" t="n">
        <v>376394639.4529062</v>
      </c>
      <c r="V175" t="n">
        <v>1</v>
      </c>
      <c r="W175" t="inlineStr">
        <is>
          <t>BALANCE TASAS</t>
        </is>
      </c>
      <c r="Y175" t="inlineStr">
        <is>
          <t>BALANCE TASAS</t>
        </is>
      </c>
      <c r="Z175" t="inlineStr">
        <is>
          <t>HTM</t>
        </is>
      </c>
      <c r="AA175" t="n">
        <v>1</v>
      </c>
    </row>
    <row r="176">
      <c r="A176" s="71" t="n">
        <v>45923</v>
      </c>
      <c r="B176" t="n">
        <v>1</v>
      </c>
      <c r="D176" t="inlineStr">
        <is>
          <t>PAS</t>
        </is>
      </c>
      <c r="E176" t="inlineStr">
        <is>
          <t>CLP</t>
        </is>
      </c>
      <c r="F176" t="inlineStr">
        <is>
          <t>CLP</t>
        </is>
      </c>
      <c r="H176" t="inlineStr">
        <is>
          <t>MT_R13_CTA. VISTA</t>
        </is>
      </c>
      <c r="I176" t="inlineStr">
        <is>
          <t>MT_R13_CTA. VISTA_CORE</t>
        </is>
      </c>
      <c r="K176" t="n">
        <v>98</v>
      </c>
      <c r="M176" s="71" t="n">
        <v>48883</v>
      </c>
      <c r="N176" s="71" t="n">
        <v>48883</v>
      </c>
      <c r="O176" s="71" t="n">
        <v>48883</v>
      </c>
      <c r="P176" t="n">
        <v>370650638.332548</v>
      </c>
      <c r="V176" t="n">
        <v>1</v>
      </c>
      <c r="W176" t="inlineStr">
        <is>
          <t>BALANCE TASAS</t>
        </is>
      </c>
      <c r="Y176" t="inlineStr">
        <is>
          <t>BALANCE TASAS</t>
        </is>
      </c>
      <c r="Z176" t="inlineStr">
        <is>
          <t>HTM</t>
        </is>
      </c>
      <c r="AA176" t="n">
        <v>1</v>
      </c>
    </row>
    <row r="177">
      <c r="A177" s="71" t="n">
        <v>45923</v>
      </c>
      <c r="B177" t="n">
        <v>1</v>
      </c>
      <c r="D177" t="inlineStr">
        <is>
          <t>PAS</t>
        </is>
      </c>
      <c r="E177" t="inlineStr">
        <is>
          <t>CLP</t>
        </is>
      </c>
      <c r="F177" t="inlineStr">
        <is>
          <t>CLP</t>
        </is>
      </c>
      <c r="H177" t="inlineStr">
        <is>
          <t>MT_R13_CTA. VISTA</t>
        </is>
      </c>
      <c r="I177" t="inlineStr">
        <is>
          <t>MT_R13_CTA. VISTA_CORE</t>
        </is>
      </c>
      <c r="K177" t="n">
        <v>99</v>
      </c>
      <c r="M177" s="71" t="n">
        <v>48913</v>
      </c>
      <c r="N177" s="71" t="n">
        <v>48913</v>
      </c>
      <c r="O177" s="71" t="n">
        <v>48913</v>
      </c>
      <c r="P177" t="n">
        <v>364906637.2121898</v>
      </c>
      <c r="V177" t="n">
        <v>1</v>
      </c>
      <c r="W177" t="inlineStr">
        <is>
          <t>BALANCE TASAS</t>
        </is>
      </c>
      <c r="Y177" t="inlineStr">
        <is>
          <t>BALANCE TASAS</t>
        </is>
      </c>
      <c r="Z177" t="inlineStr">
        <is>
          <t>HTM</t>
        </is>
      </c>
      <c r="AA177" t="n">
        <v>1</v>
      </c>
    </row>
    <row r="178">
      <c r="A178" s="71" t="n">
        <v>45923</v>
      </c>
      <c r="B178" t="n">
        <v>1</v>
      </c>
      <c r="D178" t="inlineStr">
        <is>
          <t>PAS</t>
        </is>
      </c>
      <c r="E178" t="inlineStr">
        <is>
          <t>CLP</t>
        </is>
      </c>
      <c r="F178" t="inlineStr">
        <is>
          <t>CLP</t>
        </is>
      </c>
      <c r="H178" t="inlineStr">
        <is>
          <t>MT_R13_CTA. VISTA</t>
        </is>
      </c>
      <c r="I178" t="inlineStr">
        <is>
          <t>MT_R13_CTA. VISTA_CORE</t>
        </is>
      </c>
      <c r="K178" t="n">
        <v>100</v>
      </c>
      <c r="M178" s="71" t="n">
        <v>48944</v>
      </c>
      <c r="N178" s="71" t="n">
        <v>48944</v>
      </c>
      <c r="O178" s="71" t="n">
        <v>48944</v>
      </c>
      <c r="P178" t="n">
        <v>359271013.4714609</v>
      </c>
      <c r="V178" t="n">
        <v>1</v>
      </c>
      <c r="W178" t="inlineStr">
        <is>
          <t>BALANCE TASAS</t>
        </is>
      </c>
      <c r="Y178" t="inlineStr">
        <is>
          <t>BALANCE TASAS</t>
        </is>
      </c>
      <c r="Z178" t="inlineStr">
        <is>
          <t>HTM</t>
        </is>
      </c>
      <c r="AA178" t="n">
        <v>1</v>
      </c>
    </row>
    <row r="179">
      <c r="A179" s="71" t="n">
        <v>45923</v>
      </c>
      <c r="B179" t="n">
        <v>1</v>
      </c>
      <c r="D179" t="inlineStr">
        <is>
          <t>PAS</t>
        </is>
      </c>
      <c r="E179" t="inlineStr">
        <is>
          <t>CLP</t>
        </is>
      </c>
      <c r="F179" t="inlineStr">
        <is>
          <t>CLP</t>
        </is>
      </c>
      <c r="H179" t="inlineStr">
        <is>
          <t>MT_R13_CTA. VISTA</t>
        </is>
      </c>
      <c r="I179" t="inlineStr">
        <is>
          <t>MT_R13_CTA. VISTA_CORE</t>
        </is>
      </c>
      <c r="K179" t="n">
        <v>101</v>
      </c>
      <c r="M179" s="71" t="n">
        <v>48975</v>
      </c>
      <c r="N179" s="71" t="n">
        <v>48975</v>
      </c>
      <c r="O179" s="71" t="n">
        <v>48975</v>
      </c>
      <c r="P179" t="n">
        <v>353743767.1103616</v>
      </c>
      <c r="V179" t="n">
        <v>1</v>
      </c>
      <c r="W179" t="inlineStr">
        <is>
          <t>BALANCE TASAS</t>
        </is>
      </c>
      <c r="Y179" t="inlineStr">
        <is>
          <t>BALANCE TASAS</t>
        </is>
      </c>
      <c r="Z179" t="inlineStr">
        <is>
          <t>HTM</t>
        </is>
      </c>
      <c r="AA179" t="n">
        <v>1</v>
      </c>
    </row>
    <row r="180">
      <c r="A180" s="71" t="n">
        <v>45923</v>
      </c>
      <c r="B180" t="n">
        <v>1</v>
      </c>
      <c r="D180" t="inlineStr">
        <is>
          <t>PAS</t>
        </is>
      </c>
      <c r="E180" t="inlineStr">
        <is>
          <t>CLP</t>
        </is>
      </c>
      <c r="F180" t="inlineStr">
        <is>
          <t>CLP</t>
        </is>
      </c>
      <c r="H180" t="inlineStr">
        <is>
          <t>MT_R13_CTA. VISTA</t>
        </is>
      </c>
      <c r="I180" t="inlineStr">
        <is>
          <t>MT_R13_CTA. VISTA_CORE</t>
        </is>
      </c>
      <c r="K180" t="n">
        <v>102</v>
      </c>
      <c r="M180" s="71" t="n">
        <v>49003</v>
      </c>
      <c r="N180" s="71" t="n">
        <v>49003</v>
      </c>
      <c r="O180" s="71" t="n">
        <v>49003</v>
      </c>
      <c r="P180" t="n">
        <v>348324898.1288916</v>
      </c>
      <c r="V180" t="n">
        <v>1</v>
      </c>
      <c r="W180" t="inlineStr">
        <is>
          <t>BALANCE TASAS</t>
        </is>
      </c>
      <c r="Y180" t="inlineStr">
        <is>
          <t>BALANCE TASAS</t>
        </is>
      </c>
      <c r="Z180" t="inlineStr">
        <is>
          <t>HTM</t>
        </is>
      </c>
      <c r="AA180" t="n">
        <v>1</v>
      </c>
    </row>
    <row r="181">
      <c r="A181" s="71" t="n">
        <v>45923</v>
      </c>
      <c r="B181" t="n">
        <v>1</v>
      </c>
      <c r="D181" t="inlineStr">
        <is>
          <t>PAS</t>
        </is>
      </c>
      <c r="E181" t="inlineStr">
        <is>
          <t>CLP</t>
        </is>
      </c>
      <c r="F181" t="inlineStr">
        <is>
          <t>CLP</t>
        </is>
      </c>
      <c r="H181" t="inlineStr">
        <is>
          <t>MT_R13_CTA. VISTA</t>
        </is>
      </c>
      <c r="I181" t="inlineStr">
        <is>
          <t>MT_R13_CTA. VISTA_CORE</t>
        </is>
      </c>
      <c r="K181" t="n">
        <v>103</v>
      </c>
      <c r="M181" s="71" t="n">
        <v>49034</v>
      </c>
      <c r="N181" s="71" t="n">
        <v>49034</v>
      </c>
      <c r="O181" s="71" t="n">
        <v>49034</v>
      </c>
      <c r="P181" t="n">
        <v>343014406.527051</v>
      </c>
      <c r="V181" t="n">
        <v>1</v>
      </c>
      <c r="W181" t="inlineStr">
        <is>
          <t>BALANCE TASAS</t>
        </is>
      </c>
      <c r="Y181" t="inlineStr">
        <is>
          <t>BALANCE TASAS</t>
        </is>
      </c>
      <c r="Z181" t="inlineStr">
        <is>
          <t>HTM</t>
        </is>
      </c>
      <c r="AA181" t="n">
        <v>1</v>
      </c>
    </row>
    <row r="182">
      <c r="A182" s="71" t="n">
        <v>45923</v>
      </c>
      <c r="B182" t="n">
        <v>1</v>
      </c>
      <c r="D182" t="inlineStr">
        <is>
          <t>PAS</t>
        </is>
      </c>
      <c r="E182" t="inlineStr">
        <is>
          <t>CLP</t>
        </is>
      </c>
      <c r="F182" t="inlineStr">
        <is>
          <t>CLP</t>
        </is>
      </c>
      <c r="H182" t="inlineStr">
        <is>
          <t>MT_R13_CTA. VISTA</t>
        </is>
      </c>
      <c r="I182" t="inlineStr">
        <is>
          <t>MT_R13_CTA. VISTA_CORE</t>
        </is>
      </c>
      <c r="K182" t="n">
        <v>104</v>
      </c>
      <c r="M182" s="71" t="n">
        <v>49064</v>
      </c>
      <c r="N182" s="71" t="n">
        <v>49064</v>
      </c>
      <c r="O182" s="71" t="n">
        <v>49064</v>
      </c>
      <c r="P182" t="n">
        <v>337703914.9252104</v>
      </c>
      <c r="V182" t="n">
        <v>1</v>
      </c>
      <c r="W182" t="inlineStr">
        <is>
          <t>BALANCE TASAS</t>
        </is>
      </c>
      <c r="Y182" t="inlineStr">
        <is>
          <t>BALANCE TASAS</t>
        </is>
      </c>
      <c r="Z182" t="inlineStr">
        <is>
          <t>HTM</t>
        </is>
      </c>
      <c r="AA182" t="n">
        <v>1</v>
      </c>
    </row>
    <row r="183">
      <c r="A183" s="71" t="n">
        <v>45923</v>
      </c>
      <c r="B183" t="n">
        <v>1</v>
      </c>
      <c r="D183" t="inlineStr">
        <is>
          <t>PAS</t>
        </is>
      </c>
      <c r="E183" t="inlineStr">
        <is>
          <t>CLP</t>
        </is>
      </c>
      <c r="F183" t="inlineStr">
        <is>
          <t>CLP</t>
        </is>
      </c>
      <c r="H183" t="inlineStr">
        <is>
          <t>MT_R13_CTA. VISTA</t>
        </is>
      </c>
      <c r="I183" t="inlineStr">
        <is>
          <t>MT_R13_CTA. VISTA_CORE</t>
        </is>
      </c>
      <c r="K183" t="n">
        <v>105</v>
      </c>
      <c r="M183" s="71" t="n">
        <v>49095</v>
      </c>
      <c r="N183" s="71" t="n">
        <v>49095</v>
      </c>
      <c r="O183" s="71" t="n">
        <v>49095</v>
      </c>
      <c r="P183" t="n">
        <v>332501800.7029992</v>
      </c>
      <c r="V183" t="n">
        <v>1</v>
      </c>
      <c r="W183" t="inlineStr">
        <is>
          <t>BALANCE TASAS</t>
        </is>
      </c>
      <c r="Y183" t="inlineStr">
        <is>
          <t>BALANCE TASAS</t>
        </is>
      </c>
      <c r="Z183" t="inlineStr">
        <is>
          <t>HTM</t>
        </is>
      </c>
      <c r="AA183" t="n">
        <v>1</v>
      </c>
    </row>
    <row r="184">
      <c r="A184" s="71" t="n">
        <v>45923</v>
      </c>
      <c r="B184" t="n">
        <v>1</v>
      </c>
      <c r="D184" t="inlineStr">
        <is>
          <t>PAS</t>
        </is>
      </c>
      <c r="E184" t="inlineStr">
        <is>
          <t>CLP</t>
        </is>
      </c>
      <c r="F184" t="inlineStr">
        <is>
          <t>CLP</t>
        </is>
      </c>
      <c r="H184" t="inlineStr">
        <is>
          <t>MT_R13_CTA. VISTA</t>
        </is>
      </c>
      <c r="I184" t="inlineStr">
        <is>
          <t>MT_R13_CTA. VISTA_CORE</t>
        </is>
      </c>
      <c r="K184" t="n">
        <v>106</v>
      </c>
      <c r="M184" s="71" t="n">
        <v>49125</v>
      </c>
      <c r="N184" s="71" t="n">
        <v>49125</v>
      </c>
      <c r="O184" s="71" t="n">
        <v>49125</v>
      </c>
      <c r="P184" t="n">
        <v>327408063.8604174</v>
      </c>
      <c r="V184" t="n">
        <v>1</v>
      </c>
      <c r="W184" t="inlineStr">
        <is>
          <t>BALANCE TASAS</t>
        </is>
      </c>
      <c r="Y184" t="inlineStr">
        <is>
          <t>BALANCE TASAS</t>
        </is>
      </c>
      <c r="Z184" t="inlineStr">
        <is>
          <t>HTM</t>
        </is>
      </c>
      <c r="AA184" t="n">
        <v>1</v>
      </c>
    </row>
    <row r="185">
      <c r="A185" s="71" t="n">
        <v>45923</v>
      </c>
      <c r="B185" t="n">
        <v>1</v>
      </c>
      <c r="D185" t="inlineStr">
        <is>
          <t>PAS</t>
        </is>
      </c>
      <c r="E185" t="inlineStr">
        <is>
          <t>CLP</t>
        </is>
      </c>
      <c r="F185" t="inlineStr">
        <is>
          <t>CLP</t>
        </is>
      </c>
      <c r="H185" t="inlineStr">
        <is>
          <t>MT_R13_CTA. VISTA</t>
        </is>
      </c>
      <c r="I185" t="inlineStr">
        <is>
          <t>MT_R13_CTA. VISTA_CORE</t>
        </is>
      </c>
      <c r="K185" t="n">
        <v>107</v>
      </c>
      <c r="M185" s="71" t="n">
        <v>49156</v>
      </c>
      <c r="N185" s="71" t="n">
        <v>49156</v>
      </c>
      <c r="O185" s="71" t="n">
        <v>49156</v>
      </c>
      <c r="P185" t="n">
        <v>322422704.397465</v>
      </c>
      <c r="V185" t="n">
        <v>1</v>
      </c>
      <c r="W185" t="inlineStr">
        <is>
          <t>BALANCE TASAS</t>
        </is>
      </c>
      <c r="Y185" t="inlineStr">
        <is>
          <t>BALANCE TASAS</t>
        </is>
      </c>
      <c r="Z185" t="inlineStr">
        <is>
          <t>HTM</t>
        </is>
      </c>
      <c r="AA185" t="n">
        <v>1</v>
      </c>
    </row>
    <row r="186">
      <c r="A186" s="71" t="n">
        <v>45923</v>
      </c>
      <c r="B186" t="n">
        <v>1</v>
      </c>
      <c r="D186" t="inlineStr">
        <is>
          <t>PAS</t>
        </is>
      </c>
      <c r="E186" t="inlineStr">
        <is>
          <t>CLP</t>
        </is>
      </c>
      <c r="F186" t="inlineStr">
        <is>
          <t>CLP</t>
        </is>
      </c>
      <c r="H186" t="inlineStr">
        <is>
          <t>MT_R13_CTA. VISTA</t>
        </is>
      </c>
      <c r="I186" t="inlineStr">
        <is>
          <t>MT_R13_CTA. VISTA_CORE</t>
        </is>
      </c>
      <c r="K186" t="n">
        <v>108</v>
      </c>
      <c r="M186" s="71" t="n">
        <v>49187</v>
      </c>
      <c r="N186" s="71" t="n">
        <v>49187</v>
      </c>
      <c r="O186" s="71" t="n">
        <v>49187</v>
      </c>
      <c r="P186" t="n">
        <v>20637654138.54887</v>
      </c>
      <c r="V186" t="n">
        <v>1</v>
      </c>
      <c r="W186" t="inlineStr">
        <is>
          <t>BALANCE TASAS</t>
        </is>
      </c>
      <c r="Y186" t="inlineStr">
        <is>
          <t>BALANCE TASAS</t>
        </is>
      </c>
      <c r="Z186" t="inlineStr">
        <is>
          <t>HTM</t>
        </is>
      </c>
      <c r="AA186" t="n">
        <v>1</v>
      </c>
    </row>
    <row r="187">
      <c r="A187" s="71" t="n">
        <v>45923</v>
      </c>
      <c r="B187" t="n">
        <v>1</v>
      </c>
      <c r="D187" t="inlineStr">
        <is>
          <t>PAS</t>
        </is>
      </c>
      <c r="E187" t="inlineStr">
        <is>
          <t>CLP</t>
        </is>
      </c>
      <c r="F187" t="inlineStr">
        <is>
          <t>CLP</t>
        </is>
      </c>
      <c r="H187" t="inlineStr">
        <is>
          <t>MT_R13_CTA. VISTA_CORE</t>
        </is>
      </c>
      <c r="I187" t="inlineStr">
        <is>
          <t>MT_R13_CTA. VISTA_CORE</t>
        </is>
      </c>
      <c r="M187" s="71" t="n">
        <v>45924</v>
      </c>
      <c r="N187" s="71" t="n">
        <v>45924</v>
      </c>
      <c r="O187" s="71" t="n">
        <v>45924</v>
      </c>
      <c r="P187" t="n">
        <v>108377379629.4</v>
      </c>
      <c r="V187" t="n">
        <v>1</v>
      </c>
      <c r="W187" t="inlineStr">
        <is>
          <t>BALANCE TASAS</t>
        </is>
      </c>
      <c r="Y187" t="inlineStr">
        <is>
          <t>BALANCE TASAS</t>
        </is>
      </c>
      <c r="Z187" t="inlineStr">
        <is>
          <t>HTM</t>
        </is>
      </c>
      <c r="AA187" t="n">
        <v>1</v>
      </c>
    </row>
    <row r="188">
      <c r="A188" s="71" t="n">
        <v>45923</v>
      </c>
      <c r="B188" t="n">
        <v>1</v>
      </c>
      <c r="D188" t="inlineStr">
        <is>
          <t>PAS</t>
        </is>
      </c>
      <c r="E188" t="inlineStr">
        <is>
          <t>CLP</t>
        </is>
      </c>
      <c r="F188" t="inlineStr">
        <is>
          <t>CLP</t>
        </is>
      </c>
      <c r="H188" t="inlineStr">
        <is>
          <t>MT_R13_CTA. VISTA</t>
        </is>
      </c>
      <c r="I188" t="inlineStr">
        <is>
          <t>MT_R13_CTA. VISTA_NONCORE</t>
        </is>
      </c>
      <c r="M188" s="71" t="n">
        <v>45924</v>
      </c>
      <c r="N188" s="71" t="n">
        <v>45924</v>
      </c>
      <c r="O188" s="71" t="n">
        <v>45924</v>
      </c>
      <c r="P188" t="n">
        <v>46447448412.60001</v>
      </c>
      <c r="V188" t="n">
        <v>1</v>
      </c>
      <c r="W188" t="inlineStr">
        <is>
          <t>BALANCE TASAS</t>
        </is>
      </c>
      <c r="Y188" t="inlineStr">
        <is>
          <t>BALANCE TASAS</t>
        </is>
      </c>
      <c r="Z188" t="inlineStr">
        <is>
          <t>HTM</t>
        </is>
      </c>
      <c r="AA188" t="n">
        <v>1</v>
      </c>
    </row>
    <row r="189">
      <c r="A189" s="71" t="n">
        <v>45923</v>
      </c>
      <c r="B189" t="n">
        <v>1</v>
      </c>
      <c r="D189" t="inlineStr">
        <is>
          <t>PAS</t>
        </is>
      </c>
      <c r="E189" t="inlineStr">
        <is>
          <t>CLP</t>
        </is>
      </c>
      <c r="F189" t="inlineStr">
        <is>
          <t>CLP</t>
        </is>
      </c>
      <c r="H189" t="inlineStr">
        <is>
          <t>MT_R13_CTA. VISTA_NONCORE</t>
        </is>
      </c>
      <c r="I189" t="inlineStr">
        <is>
          <t>MT_R13_CTA. VISTA_NONCORE</t>
        </is>
      </c>
      <c r="M189" s="71" t="n">
        <v>45924</v>
      </c>
      <c r="N189" s="71" t="n">
        <v>45924</v>
      </c>
      <c r="O189" s="71" t="n">
        <v>45924</v>
      </c>
      <c r="P189" t="n">
        <v>46447448412.60001</v>
      </c>
      <c r="V189" t="n">
        <v>1</v>
      </c>
      <c r="W189" t="inlineStr">
        <is>
          <t>BALANCE TASAS</t>
        </is>
      </c>
      <c r="Y189" t="inlineStr">
        <is>
          <t>BALANCE TASAS</t>
        </is>
      </c>
      <c r="Z189" t="inlineStr">
        <is>
          <t>HTM</t>
        </is>
      </c>
      <c r="AA189" t="n">
        <v>1</v>
      </c>
    </row>
    <row r="190">
      <c r="A190" s="71" t="n">
        <v>45923</v>
      </c>
      <c r="B190" t="n">
        <v>1</v>
      </c>
      <c r="D190" t="inlineStr">
        <is>
          <t>PAS</t>
        </is>
      </c>
      <c r="E190" t="inlineStr">
        <is>
          <t>CLF</t>
        </is>
      </c>
      <c r="F190" t="inlineStr">
        <is>
          <t>CLF</t>
        </is>
      </c>
      <c r="H190" t="inlineStr">
        <is>
          <t>MT_R13_CTA. AHORRO</t>
        </is>
      </c>
      <c r="I190" t="inlineStr">
        <is>
          <t>MT_R13_CTA. AHORRO G.DIF_CORE</t>
        </is>
      </c>
      <c r="K190" t="n">
        <v>1</v>
      </c>
      <c r="M190" s="71" t="n">
        <v>45930</v>
      </c>
      <c r="N190" s="71" t="n">
        <v>45930</v>
      </c>
      <c r="O190" s="71" t="n">
        <v>45930</v>
      </c>
      <c r="P190" t="n">
        <v>27435.39464944057</v>
      </c>
      <c r="V190" t="n">
        <v>1</v>
      </c>
      <c r="W190" t="inlineStr">
        <is>
          <t>BALANCE TASAS</t>
        </is>
      </c>
      <c r="Y190" t="inlineStr">
        <is>
          <t>BALANCE TASAS</t>
        </is>
      </c>
      <c r="Z190" t="inlineStr">
        <is>
          <t>HTM</t>
        </is>
      </c>
      <c r="AA190" t="n">
        <v>1</v>
      </c>
    </row>
    <row r="191">
      <c r="A191" s="71" t="n">
        <v>45923</v>
      </c>
      <c r="B191" t="n">
        <v>1</v>
      </c>
      <c r="D191" t="inlineStr">
        <is>
          <t>PAS</t>
        </is>
      </c>
      <c r="E191" t="inlineStr">
        <is>
          <t>CLF</t>
        </is>
      </c>
      <c r="F191" t="inlineStr">
        <is>
          <t>CLF</t>
        </is>
      </c>
      <c r="H191" t="inlineStr">
        <is>
          <t>MT_R13_CTA. AHORRO</t>
        </is>
      </c>
      <c r="I191" t="inlineStr">
        <is>
          <t>MT_R13_CTA. AHORRO G.DIF_CORE</t>
        </is>
      </c>
      <c r="K191" t="n">
        <v>2</v>
      </c>
      <c r="M191" s="71" t="n">
        <v>45961</v>
      </c>
      <c r="N191" s="71" t="n">
        <v>45961</v>
      </c>
      <c r="O191" s="71" t="n">
        <v>45961</v>
      </c>
      <c r="P191" t="n">
        <v>27197.39784618096</v>
      </c>
      <c r="V191" t="n">
        <v>1</v>
      </c>
      <c r="W191" t="inlineStr">
        <is>
          <t>BALANCE TASAS</t>
        </is>
      </c>
      <c r="Y191" t="inlineStr">
        <is>
          <t>BALANCE TASAS</t>
        </is>
      </c>
      <c r="Z191" t="inlineStr">
        <is>
          <t>HTM</t>
        </is>
      </c>
      <c r="AA191" t="n">
        <v>1</v>
      </c>
    </row>
    <row r="192">
      <c r="A192" s="71" t="n">
        <v>45923</v>
      </c>
      <c r="B192" t="n">
        <v>1</v>
      </c>
      <c r="D192" t="inlineStr">
        <is>
          <t>PAS</t>
        </is>
      </c>
      <c r="E192" t="inlineStr">
        <is>
          <t>CLF</t>
        </is>
      </c>
      <c r="F192" t="inlineStr">
        <is>
          <t>CLF</t>
        </is>
      </c>
      <c r="H192" t="inlineStr">
        <is>
          <t>MT_R13_CTA. AHORRO</t>
        </is>
      </c>
      <c r="I192" t="inlineStr">
        <is>
          <t>MT_R13_CTA. AHORRO G.DIF_CORE</t>
        </is>
      </c>
      <c r="K192" t="n">
        <v>3</v>
      </c>
      <c r="M192" s="71" t="n">
        <v>45991</v>
      </c>
      <c r="N192" s="71" t="n">
        <v>45991</v>
      </c>
      <c r="O192" s="71" t="n">
        <v>45991</v>
      </c>
      <c r="P192" t="n">
        <v>26959.40104292134</v>
      </c>
      <c r="V192" t="n">
        <v>1</v>
      </c>
      <c r="W192" t="inlineStr">
        <is>
          <t>BALANCE TASAS</t>
        </is>
      </c>
      <c r="Y192" t="inlineStr">
        <is>
          <t>BALANCE TASAS</t>
        </is>
      </c>
      <c r="Z192" t="inlineStr">
        <is>
          <t>HTM</t>
        </is>
      </c>
      <c r="AA192" t="n">
        <v>1</v>
      </c>
    </row>
    <row r="193">
      <c r="A193" s="71" t="n">
        <v>45923</v>
      </c>
      <c r="B193" t="n">
        <v>1</v>
      </c>
      <c r="D193" t="inlineStr">
        <is>
          <t>PAS</t>
        </is>
      </c>
      <c r="E193" t="inlineStr">
        <is>
          <t>CLF</t>
        </is>
      </c>
      <c r="F193" t="inlineStr">
        <is>
          <t>CLF</t>
        </is>
      </c>
      <c r="H193" t="inlineStr">
        <is>
          <t>MT_R13_CTA. AHORRO</t>
        </is>
      </c>
      <c r="I193" t="inlineStr">
        <is>
          <t>MT_R13_CTA. AHORRO G.DIF_CORE</t>
        </is>
      </c>
      <c r="K193" t="n">
        <v>4</v>
      </c>
      <c r="M193" s="71" t="n">
        <v>46022</v>
      </c>
      <c r="N193" s="71" t="n">
        <v>46022</v>
      </c>
      <c r="O193" s="71" t="n">
        <v>46022</v>
      </c>
      <c r="P193" t="n">
        <v>26721.40423966173</v>
      </c>
      <c r="V193" t="n">
        <v>1</v>
      </c>
      <c r="W193" t="inlineStr">
        <is>
          <t>BALANCE TASAS</t>
        </is>
      </c>
      <c r="Y193" t="inlineStr">
        <is>
          <t>BALANCE TASAS</t>
        </is>
      </c>
      <c r="Z193" t="inlineStr">
        <is>
          <t>HTM</t>
        </is>
      </c>
      <c r="AA193" t="n">
        <v>1</v>
      </c>
    </row>
    <row r="194">
      <c r="A194" s="71" t="n">
        <v>45923</v>
      </c>
      <c r="B194" t="n">
        <v>1</v>
      </c>
      <c r="D194" t="inlineStr">
        <is>
          <t>PAS</t>
        </is>
      </c>
      <c r="E194" t="inlineStr">
        <is>
          <t>CLF</t>
        </is>
      </c>
      <c r="F194" t="inlineStr">
        <is>
          <t>CLF</t>
        </is>
      </c>
      <c r="H194" t="inlineStr">
        <is>
          <t>MT_R13_CTA. AHORRO</t>
        </is>
      </c>
      <c r="I194" t="inlineStr">
        <is>
          <t>MT_R13_CTA. AHORRO G.DIF_CORE</t>
        </is>
      </c>
      <c r="K194" t="n">
        <v>5</v>
      </c>
      <c r="M194" s="71" t="n">
        <v>46053</v>
      </c>
      <c r="N194" s="71" t="n">
        <v>46053</v>
      </c>
      <c r="O194" s="71" t="n">
        <v>46053</v>
      </c>
      <c r="P194" t="n">
        <v>26486.53897328711</v>
      </c>
      <c r="V194" t="n">
        <v>1</v>
      </c>
      <c r="W194" t="inlineStr">
        <is>
          <t>BALANCE TASAS</t>
        </is>
      </c>
      <c r="Y194" t="inlineStr">
        <is>
          <t>BALANCE TASAS</t>
        </is>
      </c>
      <c r="Z194" t="inlineStr">
        <is>
          <t>HTM</t>
        </is>
      </c>
      <c r="AA194" t="n">
        <v>1</v>
      </c>
    </row>
    <row r="195">
      <c r="A195" s="71" t="n">
        <v>45923</v>
      </c>
      <c r="B195" t="n">
        <v>1</v>
      </c>
      <c r="D195" t="inlineStr">
        <is>
          <t>PAS</t>
        </is>
      </c>
      <c r="E195" t="inlineStr">
        <is>
          <t>CLF</t>
        </is>
      </c>
      <c r="F195" t="inlineStr">
        <is>
          <t>CLF</t>
        </is>
      </c>
      <c r="H195" t="inlineStr">
        <is>
          <t>MT_R13_CTA. AHORRO</t>
        </is>
      </c>
      <c r="I195" t="inlineStr">
        <is>
          <t>MT_R13_CTA. AHORRO G.DIF_CORE</t>
        </is>
      </c>
      <c r="K195" t="n">
        <v>6</v>
      </c>
      <c r="M195" s="71" t="n">
        <v>46081</v>
      </c>
      <c r="N195" s="71" t="n">
        <v>46081</v>
      </c>
      <c r="O195" s="71" t="n">
        <v>46081</v>
      </c>
      <c r="P195" t="n">
        <v>26254.80524379748</v>
      </c>
      <c r="V195" t="n">
        <v>1</v>
      </c>
      <c r="W195" t="inlineStr">
        <is>
          <t>BALANCE TASAS</t>
        </is>
      </c>
      <c r="Y195" t="inlineStr">
        <is>
          <t>BALANCE TASAS</t>
        </is>
      </c>
      <c r="Z195" t="inlineStr">
        <is>
          <t>HTM</t>
        </is>
      </c>
      <c r="AA195" t="n">
        <v>1</v>
      </c>
    </row>
    <row r="196">
      <c r="A196" s="71" t="n">
        <v>45923</v>
      </c>
      <c r="B196" t="n">
        <v>1</v>
      </c>
      <c r="D196" t="inlineStr">
        <is>
          <t>PAS</t>
        </is>
      </c>
      <c r="E196" t="inlineStr">
        <is>
          <t>CLF</t>
        </is>
      </c>
      <c r="F196" t="inlineStr">
        <is>
          <t>CLF</t>
        </is>
      </c>
      <c r="H196" t="inlineStr">
        <is>
          <t>MT_R13_CTA. AHORRO</t>
        </is>
      </c>
      <c r="I196" t="inlineStr">
        <is>
          <t>MT_R13_CTA. AHORRO G.DIF_CORE</t>
        </is>
      </c>
      <c r="K196" t="n">
        <v>7</v>
      </c>
      <c r="M196" s="71" t="n">
        <v>46112</v>
      </c>
      <c r="N196" s="71" t="n">
        <v>46112</v>
      </c>
      <c r="O196" s="71" t="n">
        <v>46112</v>
      </c>
      <c r="P196" t="n">
        <v>26026.20305119285</v>
      </c>
      <c r="V196" t="n">
        <v>1</v>
      </c>
      <c r="W196" t="inlineStr">
        <is>
          <t>BALANCE TASAS</t>
        </is>
      </c>
      <c r="Y196" t="inlineStr">
        <is>
          <t>BALANCE TASAS</t>
        </is>
      </c>
      <c r="Z196" t="inlineStr">
        <is>
          <t>HTM</t>
        </is>
      </c>
      <c r="AA196" t="n">
        <v>1</v>
      </c>
    </row>
    <row r="197">
      <c r="A197" s="71" t="n">
        <v>45923</v>
      </c>
      <c r="B197" t="n">
        <v>1</v>
      </c>
      <c r="D197" t="inlineStr">
        <is>
          <t>PAS</t>
        </is>
      </c>
      <c r="E197" t="inlineStr">
        <is>
          <t>CLF</t>
        </is>
      </c>
      <c r="F197" t="inlineStr">
        <is>
          <t>CLF</t>
        </is>
      </c>
      <c r="H197" t="inlineStr">
        <is>
          <t>MT_R13_CTA. AHORRO</t>
        </is>
      </c>
      <c r="I197" t="inlineStr">
        <is>
          <t>MT_R13_CTA. AHORRO G.DIF_CORE</t>
        </is>
      </c>
      <c r="K197" t="n">
        <v>8</v>
      </c>
      <c r="M197" s="71" t="n">
        <v>46142</v>
      </c>
      <c r="N197" s="71" t="n">
        <v>46142</v>
      </c>
      <c r="O197" s="71" t="n">
        <v>46142</v>
      </c>
      <c r="P197" t="n">
        <v>25797.60085858822</v>
      </c>
      <c r="V197" t="n">
        <v>1</v>
      </c>
      <c r="W197" t="inlineStr">
        <is>
          <t>BALANCE TASAS</t>
        </is>
      </c>
      <c r="Y197" t="inlineStr">
        <is>
          <t>BALANCE TASAS</t>
        </is>
      </c>
      <c r="Z197" t="inlineStr">
        <is>
          <t>HTM</t>
        </is>
      </c>
      <c r="AA197" t="n">
        <v>1</v>
      </c>
    </row>
    <row r="198">
      <c r="A198" s="71" t="n">
        <v>45923</v>
      </c>
      <c r="B198" t="n">
        <v>1</v>
      </c>
      <c r="D198" t="inlineStr">
        <is>
          <t>PAS</t>
        </is>
      </c>
      <c r="E198" t="inlineStr">
        <is>
          <t>CLF</t>
        </is>
      </c>
      <c r="F198" t="inlineStr">
        <is>
          <t>CLF</t>
        </is>
      </c>
      <c r="H198" t="inlineStr">
        <is>
          <t>MT_R13_CTA. AHORRO</t>
        </is>
      </c>
      <c r="I198" t="inlineStr">
        <is>
          <t>MT_R13_CTA. AHORRO G.DIF_CORE</t>
        </is>
      </c>
      <c r="K198" t="n">
        <v>9</v>
      </c>
      <c r="M198" s="71" t="n">
        <v>46173</v>
      </c>
      <c r="N198" s="71" t="n">
        <v>46173</v>
      </c>
      <c r="O198" s="71" t="n">
        <v>46173</v>
      </c>
      <c r="P198" t="n">
        <v>25572.13020286859</v>
      </c>
      <c r="V198" t="n">
        <v>1</v>
      </c>
      <c r="W198" t="inlineStr">
        <is>
          <t>BALANCE TASAS</t>
        </is>
      </c>
      <c r="Y198" t="inlineStr">
        <is>
          <t>BALANCE TASAS</t>
        </is>
      </c>
      <c r="Z198" t="inlineStr">
        <is>
          <t>HTM</t>
        </is>
      </c>
      <c r="AA198" t="n">
        <v>1</v>
      </c>
    </row>
    <row r="199">
      <c r="A199" s="71" t="n">
        <v>45923</v>
      </c>
      <c r="B199" t="n">
        <v>1</v>
      </c>
      <c r="D199" t="inlineStr">
        <is>
          <t>PAS</t>
        </is>
      </c>
      <c r="E199" t="inlineStr">
        <is>
          <t>CLF</t>
        </is>
      </c>
      <c r="F199" t="inlineStr">
        <is>
          <t>CLF</t>
        </is>
      </c>
      <c r="H199" t="inlineStr">
        <is>
          <t>MT_R13_CTA. AHORRO</t>
        </is>
      </c>
      <c r="I199" t="inlineStr">
        <is>
          <t>MT_R13_CTA. AHORRO G.DIF_CORE</t>
        </is>
      </c>
      <c r="K199" t="n">
        <v>10</v>
      </c>
      <c r="M199" s="71" t="n">
        <v>46203</v>
      </c>
      <c r="N199" s="71" t="n">
        <v>46203</v>
      </c>
      <c r="O199" s="71" t="n">
        <v>46203</v>
      </c>
      <c r="P199" t="n">
        <v>25346.65954714896</v>
      </c>
      <c r="V199" t="n">
        <v>1</v>
      </c>
      <c r="W199" t="inlineStr">
        <is>
          <t>BALANCE TASAS</t>
        </is>
      </c>
      <c r="Y199" t="inlineStr">
        <is>
          <t>BALANCE TASAS</t>
        </is>
      </c>
      <c r="Z199" t="inlineStr">
        <is>
          <t>HTM</t>
        </is>
      </c>
      <c r="AA199" t="n">
        <v>1</v>
      </c>
    </row>
    <row r="200">
      <c r="A200" s="71" t="n">
        <v>45923</v>
      </c>
      <c r="B200" t="n">
        <v>1</v>
      </c>
      <c r="D200" t="inlineStr">
        <is>
          <t>PAS</t>
        </is>
      </c>
      <c r="E200" t="inlineStr">
        <is>
          <t>CLF</t>
        </is>
      </c>
      <c r="F200" t="inlineStr">
        <is>
          <t>CLF</t>
        </is>
      </c>
      <c r="H200" t="inlineStr">
        <is>
          <t>MT_R13_CTA. AHORRO</t>
        </is>
      </c>
      <c r="I200" t="inlineStr">
        <is>
          <t>MT_R13_CTA. AHORRO G.DIF_CORE</t>
        </is>
      </c>
      <c r="K200" t="n">
        <v>11</v>
      </c>
      <c r="M200" s="71" t="n">
        <v>46234</v>
      </c>
      <c r="N200" s="71" t="n">
        <v>46234</v>
      </c>
      <c r="O200" s="71" t="n">
        <v>46234</v>
      </c>
      <c r="P200" t="n">
        <v>25124.32042831432</v>
      </c>
      <c r="V200" t="n">
        <v>1</v>
      </c>
      <c r="W200" t="inlineStr">
        <is>
          <t>BALANCE TASAS</t>
        </is>
      </c>
      <c r="Y200" t="inlineStr">
        <is>
          <t>BALANCE TASAS</t>
        </is>
      </c>
      <c r="Z200" t="inlineStr">
        <is>
          <t>HTM</t>
        </is>
      </c>
      <c r="AA200" t="n">
        <v>1</v>
      </c>
    </row>
    <row r="201">
      <c r="A201" s="71" t="n">
        <v>45923</v>
      </c>
      <c r="B201" t="n">
        <v>1</v>
      </c>
      <c r="D201" t="inlineStr">
        <is>
          <t>PAS</t>
        </is>
      </c>
      <c r="E201" t="inlineStr">
        <is>
          <t>CLF</t>
        </is>
      </c>
      <c r="F201" t="inlineStr">
        <is>
          <t>CLF</t>
        </is>
      </c>
      <c r="H201" t="inlineStr">
        <is>
          <t>MT_R13_CTA. AHORRO</t>
        </is>
      </c>
      <c r="I201" t="inlineStr">
        <is>
          <t>MT_R13_CTA. AHORRO G.DIF_CORE</t>
        </is>
      </c>
      <c r="K201" t="n">
        <v>12</v>
      </c>
      <c r="M201" s="71" t="n">
        <v>46265</v>
      </c>
      <c r="N201" s="71" t="n">
        <v>46265</v>
      </c>
      <c r="O201" s="71" t="n">
        <v>46265</v>
      </c>
      <c r="P201" t="n">
        <v>24905.11284636467</v>
      </c>
      <c r="V201" t="n">
        <v>1</v>
      </c>
      <c r="W201" t="inlineStr">
        <is>
          <t>BALANCE TASAS</t>
        </is>
      </c>
      <c r="Y201" t="inlineStr">
        <is>
          <t>BALANCE TASAS</t>
        </is>
      </c>
      <c r="Z201" t="inlineStr">
        <is>
          <t>HTM</t>
        </is>
      </c>
      <c r="AA201" t="n">
        <v>1</v>
      </c>
    </row>
    <row r="202">
      <c r="A202" s="71" t="n">
        <v>45923</v>
      </c>
      <c r="B202" t="n">
        <v>1</v>
      </c>
      <c r="D202" t="inlineStr">
        <is>
          <t>PAS</t>
        </is>
      </c>
      <c r="E202" t="inlineStr">
        <is>
          <t>CLF</t>
        </is>
      </c>
      <c r="F202" t="inlineStr">
        <is>
          <t>CLF</t>
        </is>
      </c>
      <c r="H202" t="inlineStr">
        <is>
          <t>MT_R13_CTA. AHORRO</t>
        </is>
      </c>
      <c r="I202" t="inlineStr">
        <is>
          <t>MT_R13_CTA. AHORRO G.DIF_CORE</t>
        </is>
      </c>
      <c r="K202" t="n">
        <v>13</v>
      </c>
      <c r="M202" s="71" t="n">
        <v>46295</v>
      </c>
      <c r="N202" s="71" t="n">
        <v>46295</v>
      </c>
      <c r="O202" s="71" t="n">
        <v>46295</v>
      </c>
      <c r="P202" t="n">
        <v>24685.90526441502</v>
      </c>
      <c r="V202" t="n">
        <v>1</v>
      </c>
      <c r="W202" t="inlineStr">
        <is>
          <t>BALANCE TASAS</t>
        </is>
      </c>
      <c r="Y202" t="inlineStr">
        <is>
          <t>BALANCE TASAS</t>
        </is>
      </c>
      <c r="Z202" t="inlineStr">
        <is>
          <t>HTM</t>
        </is>
      </c>
      <c r="AA202" t="n">
        <v>1</v>
      </c>
    </row>
    <row r="203">
      <c r="A203" s="71" t="n">
        <v>45923</v>
      </c>
      <c r="B203" t="n">
        <v>1</v>
      </c>
      <c r="D203" t="inlineStr">
        <is>
          <t>PAS</t>
        </is>
      </c>
      <c r="E203" t="inlineStr">
        <is>
          <t>CLF</t>
        </is>
      </c>
      <c r="F203" t="inlineStr">
        <is>
          <t>CLF</t>
        </is>
      </c>
      <c r="H203" t="inlineStr">
        <is>
          <t>MT_R13_CTA. AHORRO</t>
        </is>
      </c>
      <c r="I203" t="inlineStr">
        <is>
          <t>MT_R13_CTA. AHORRO G.DIF_CORE</t>
        </is>
      </c>
      <c r="K203" t="n">
        <v>14</v>
      </c>
      <c r="M203" s="71" t="n">
        <v>46326</v>
      </c>
      <c r="N203" s="71" t="n">
        <v>46326</v>
      </c>
      <c r="O203" s="71" t="n">
        <v>46326</v>
      </c>
      <c r="P203" t="n">
        <v>24469.82921935037</v>
      </c>
      <c r="V203" t="n">
        <v>1</v>
      </c>
      <c r="W203" t="inlineStr">
        <is>
          <t>BALANCE TASAS</t>
        </is>
      </c>
      <c r="Y203" t="inlineStr">
        <is>
          <t>BALANCE TASAS</t>
        </is>
      </c>
      <c r="Z203" t="inlineStr">
        <is>
          <t>HTM</t>
        </is>
      </c>
      <c r="AA203" t="n">
        <v>1</v>
      </c>
    </row>
    <row r="204">
      <c r="A204" s="71" t="n">
        <v>45923</v>
      </c>
      <c r="B204" t="n">
        <v>1</v>
      </c>
      <c r="D204" t="inlineStr">
        <is>
          <t>PAS</t>
        </is>
      </c>
      <c r="E204" t="inlineStr">
        <is>
          <t>CLF</t>
        </is>
      </c>
      <c r="F204" t="inlineStr">
        <is>
          <t>CLF</t>
        </is>
      </c>
      <c r="H204" t="inlineStr">
        <is>
          <t>MT_R13_CTA. AHORRO</t>
        </is>
      </c>
      <c r="I204" t="inlineStr">
        <is>
          <t>MT_R13_CTA. AHORRO G.DIF_CORE</t>
        </is>
      </c>
      <c r="K204" t="n">
        <v>15</v>
      </c>
      <c r="M204" s="71" t="n">
        <v>46356</v>
      </c>
      <c r="N204" s="71" t="n">
        <v>46356</v>
      </c>
      <c r="O204" s="71" t="n">
        <v>46356</v>
      </c>
      <c r="P204" t="n">
        <v>24256.88471117072</v>
      </c>
      <c r="V204" t="n">
        <v>1</v>
      </c>
      <c r="W204" t="inlineStr">
        <is>
          <t>BALANCE TASAS</t>
        </is>
      </c>
      <c r="Y204" t="inlineStr">
        <is>
          <t>BALANCE TASAS</t>
        </is>
      </c>
      <c r="Z204" t="inlineStr">
        <is>
          <t>HTM</t>
        </is>
      </c>
      <c r="AA204" t="n">
        <v>1</v>
      </c>
    </row>
    <row r="205">
      <c r="A205" s="71" t="n">
        <v>45923</v>
      </c>
      <c r="B205" t="n">
        <v>1</v>
      </c>
      <c r="D205" t="inlineStr">
        <is>
          <t>PAS</t>
        </is>
      </c>
      <c r="E205" t="inlineStr">
        <is>
          <t>CLF</t>
        </is>
      </c>
      <c r="F205" t="inlineStr">
        <is>
          <t>CLF</t>
        </is>
      </c>
      <c r="H205" t="inlineStr">
        <is>
          <t>MT_R13_CTA. AHORRO</t>
        </is>
      </c>
      <c r="I205" t="inlineStr">
        <is>
          <t>MT_R13_CTA. AHORRO G.DIF_CORE</t>
        </is>
      </c>
      <c r="K205" t="n">
        <v>16</v>
      </c>
      <c r="M205" s="71" t="n">
        <v>46387</v>
      </c>
      <c r="N205" s="71" t="n">
        <v>46387</v>
      </c>
      <c r="O205" s="71" t="n">
        <v>46387</v>
      </c>
      <c r="P205" t="n">
        <v>24043.94020299106</v>
      </c>
      <c r="V205" t="n">
        <v>1</v>
      </c>
      <c r="W205" t="inlineStr">
        <is>
          <t>BALANCE TASAS</t>
        </is>
      </c>
      <c r="Y205" t="inlineStr">
        <is>
          <t>BALANCE TASAS</t>
        </is>
      </c>
      <c r="Z205" t="inlineStr">
        <is>
          <t>HTM</t>
        </is>
      </c>
      <c r="AA205" t="n">
        <v>1</v>
      </c>
    </row>
    <row r="206">
      <c r="A206" s="71" t="n">
        <v>45923</v>
      </c>
      <c r="B206" t="n">
        <v>1</v>
      </c>
      <c r="D206" t="inlineStr">
        <is>
          <t>PAS</t>
        </is>
      </c>
      <c r="E206" t="inlineStr">
        <is>
          <t>CLF</t>
        </is>
      </c>
      <c r="F206" t="inlineStr">
        <is>
          <t>CLF</t>
        </is>
      </c>
      <c r="H206" t="inlineStr">
        <is>
          <t>MT_R13_CTA. AHORRO</t>
        </is>
      </c>
      <c r="I206" t="inlineStr">
        <is>
          <t>MT_R13_CTA. AHORRO G.DIF_CORE</t>
        </is>
      </c>
      <c r="K206" t="n">
        <v>17</v>
      </c>
      <c r="M206" s="71" t="n">
        <v>46418</v>
      </c>
      <c r="N206" s="71" t="n">
        <v>46418</v>
      </c>
      <c r="O206" s="71" t="n">
        <v>46418</v>
      </c>
      <c r="P206" t="n">
        <v>23834.1272316964</v>
      </c>
      <c r="V206" t="n">
        <v>1</v>
      </c>
      <c r="W206" t="inlineStr">
        <is>
          <t>BALANCE TASAS</t>
        </is>
      </c>
      <c r="Y206" t="inlineStr">
        <is>
          <t>BALANCE TASAS</t>
        </is>
      </c>
      <c r="Z206" t="inlineStr">
        <is>
          <t>HTM</t>
        </is>
      </c>
      <c r="AA206" t="n">
        <v>1</v>
      </c>
    </row>
    <row r="207">
      <c r="A207" s="71" t="n">
        <v>45923</v>
      </c>
      <c r="B207" t="n">
        <v>1</v>
      </c>
      <c r="D207" t="inlineStr">
        <is>
          <t>PAS</t>
        </is>
      </c>
      <c r="E207" t="inlineStr">
        <is>
          <t>CLF</t>
        </is>
      </c>
      <c r="F207" t="inlineStr">
        <is>
          <t>CLF</t>
        </is>
      </c>
      <c r="H207" t="inlineStr">
        <is>
          <t>MT_R13_CTA. AHORRO</t>
        </is>
      </c>
      <c r="I207" t="inlineStr">
        <is>
          <t>MT_R13_CTA. AHORRO G.DIF_CORE</t>
        </is>
      </c>
      <c r="K207" t="n">
        <v>18</v>
      </c>
      <c r="M207" s="71" t="n">
        <v>46446</v>
      </c>
      <c r="N207" s="71" t="n">
        <v>46446</v>
      </c>
      <c r="O207" s="71" t="n">
        <v>46446</v>
      </c>
      <c r="P207" t="n">
        <v>23624.31426040174</v>
      </c>
      <c r="V207" t="n">
        <v>1</v>
      </c>
      <c r="W207" t="inlineStr">
        <is>
          <t>BALANCE TASAS</t>
        </is>
      </c>
      <c r="Y207" t="inlineStr">
        <is>
          <t>BALANCE TASAS</t>
        </is>
      </c>
      <c r="Z207" t="inlineStr">
        <is>
          <t>HTM</t>
        </is>
      </c>
      <c r="AA207" t="n">
        <v>1</v>
      </c>
    </row>
    <row r="208">
      <c r="A208" s="71" t="n">
        <v>45923</v>
      </c>
      <c r="B208" t="n">
        <v>1</v>
      </c>
      <c r="D208" t="inlineStr">
        <is>
          <t>PAS</t>
        </is>
      </c>
      <c r="E208" t="inlineStr">
        <is>
          <t>CLF</t>
        </is>
      </c>
      <c r="F208" t="inlineStr">
        <is>
          <t>CLF</t>
        </is>
      </c>
      <c r="H208" t="inlineStr">
        <is>
          <t>MT_R13_CTA. AHORRO</t>
        </is>
      </c>
      <c r="I208" t="inlineStr">
        <is>
          <t>MT_R13_CTA. AHORRO G.DIF_CORE</t>
        </is>
      </c>
      <c r="K208" t="n">
        <v>19</v>
      </c>
      <c r="M208" s="71" t="n">
        <v>46477</v>
      </c>
      <c r="N208" s="71" t="n">
        <v>46477</v>
      </c>
      <c r="O208" s="71" t="n">
        <v>46477</v>
      </c>
      <c r="P208" t="n">
        <v>23417.63282599208</v>
      </c>
      <c r="V208" t="n">
        <v>1</v>
      </c>
      <c r="W208" t="inlineStr">
        <is>
          <t>BALANCE TASAS</t>
        </is>
      </c>
      <c r="Y208" t="inlineStr">
        <is>
          <t>BALANCE TASAS</t>
        </is>
      </c>
      <c r="Z208" t="inlineStr">
        <is>
          <t>HTM</t>
        </is>
      </c>
      <c r="AA208" t="n">
        <v>1</v>
      </c>
    </row>
    <row r="209">
      <c r="A209" s="71" t="n">
        <v>45923</v>
      </c>
      <c r="B209" t="n">
        <v>1</v>
      </c>
      <c r="D209" t="inlineStr">
        <is>
          <t>PAS</t>
        </is>
      </c>
      <c r="E209" t="inlineStr">
        <is>
          <t>CLF</t>
        </is>
      </c>
      <c r="F209" t="inlineStr">
        <is>
          <t>CLF</t>
        </is>
      </c>
      <c r="H209" t="inlineStr">
        <is>
          <t>MT_R13_CTA. AHORRO</t>
        </is>
      </c>
      <c r="I209" t="inlineStr">
        <is>
          <t>MT_R13_CTA. AHORRO G.DIF_CORE</t>
        </is>
      </c>
      <c r="K209" t="n">
        <v>20</v>
      </c>
      <c r="M209" s="71" t="n">
        <v>46507</v>
      </c>
      <c r="N209" s="71" t="n">
        <v>46507</v>
      </c>
      <c r="O209" s="71" t="n">
        <v>46507</v>
      </c>
      <c r="P209" t="n">
        <v>23210.95139158241</v>
      </c>
      <c r="V209" t="n">
        <v>1</v>
      </c>
      <c r="W209" t="inlineStr">
        <is>
          <t>BALANCE TASAS</t>
        </is>
      </c>
      <c r="Y209" t="inlineStr">
        <is>
          <t>BALANCE TASAS</t>
        </is>
      </c>
      <c r="Z209" t="inlineStr">
        <is>
          <t>HTM</t>
        </is>
      </c>
      <c r="AA209" t="n">
        <v>1</v>
      </c>
    </row>
    <row r="210">
      <c r="A210" s="71" t="n">
        <v>45923</v>
      </c>
      <c r="B210" t="n">
        <v>1</v>
      </c>
      <c r="D210" t="inlineStr">
        <is>
          <t>PAS</t>
        </is>
      </c>
      <c r="E210" t="inlineStr">
        <is>
          <t>CLF</t>
        </is>
      </c>
      <c r="F210" t="inlineStr">
        <is>
          <t>CLF</t>
        </is>
      </c>
      <c r="H210" t="inlineStr">
        <is>
          <t>MT_R13_CTA. AHORRO</t>
        </is>
      </c>
      <c r="I210" t="inlineStr">
        <is>
          <t>MT_R13_CTA. AHORRO G.DIF_CORE</t>
        </is>
      </c>
      <c r="K210" t="n">
        <v>21</v>
      </c>
      <c r="M210" s="71" t="n">
        <v>46538</v>
      </c>
      <c r="N210" s="71" t="n">
        <v>46538</v>
      </c>
      <c r="O210" s="71" t="n">
        <v>46538</v>
      </c>
      <c r="P210" t="n">
        <v>23007.40149405774</v>
      </c>
      <c r="V210" t="n">
        <v>1</v>
      </c>
      <c r="W210" t="inlineStr">
        <is>
          <t>BALANCE TASAS</t>
        </is>
      </c>
      <c r="Y210" t="inlineStr">
        <is>
          <t>BALANCE TASAS</t>
        </is>
      </c>
      <c r="Z210" t="inlineStr">
        <is>
          <t>HTM</t>
        </is>
      </c>
      <c r="AA210" t="n">
        <v>1</v>
      </c>
    </row>
    <row r="211">
      <c r="A211" s="71" t="n">
        <v>45923</v>
      </c>
      <c r="B211" t="n">
        <v>1</v>
      </c>
      <c r="D211" t="inlineStr">
        <is>
          <t>PAS</t>
        </is>
      </c>
      <c r="E211" t="inlineStr">
        <is>
          <t>CLF</t>
        </is>
      </c>
      <c r="F211" t="inlineStr">
        <is>
          <t>CLF</t>
        </is>
      </c>
      <c r="H211" t="inlineStr">
        <is>
          <t>MT_R13_CTA. AHORRO</t>
        </is>
      </c>
      <c r="I211" t="inlineStr">
        <is>
          <t>MT_R13_CTA. AHORRO G.DIF_CORE</t>
        </is>
      </c>
      <c r="K211" t="n">
        <v>22</v>
      </c>
      <c r="M211" s="71" t="n">
        <v>46568</v>
      </c>
      <c r="N211" s="71" t="n">
        <v>46568</v>
      </c>
      <c r="O211" s="71" t="n">
        <v>46568</v>
      </c>
      <c r="P211" t="n">
        <v>22806.98313341807</v>
      </c>
      <c r="V211" t="n">
        <v>1</v>
      </c>
      <c r="W211" t="inlineStr">
        <is>
          <t>BALANCE TASAS</t>
        </is>
      </c>
      <c r="Y211" t="inlineStr">
        <is>
          <t>BALANCE TASAS</t>
        </is>
      </c>
      <c r="Z211" t="inlineStr">
        <is>
          <t>HTM</t>
        </is>
      </c>
      <c r="AA211" t="n">
        <v>1</v>
      </c>
    </row>
    <row r="212">
      <c r="A212" s="71" t="n">
        <v>45923</v>
      </c>
      <c r="B212" t="n">
        <v>1</v>
      </c>
      <c r="D212" t="inlineStr">
        <is>
          <t>PAS</t>
        </is>
      </c>
      <c r="E212" t="inlineStr">
        <is>
          <t>CLF</t>
        </is>
      </c>
      <c r="F212" t="inlineStr">
        <is>
          <t>CLF</t>
        </is>
      </c>
      <c r="H212" t="inlineStr">
        <is>
          <t>MT_R13_CTA. AHORRO</t>
        </is>
      </c>
      <c r="I212" t="inlineStr">
        <is>
          <t>MT_R13_CTA. AHORRO G.DIF_CORE</t>
        </is>
      </c>
      <c r="K212" t="n">
        <v>23</v>
      </c>
      <c r="M212" s="71" t="n">
        <v>46599</v>
      </c>
      <c r="N212" s="71" t="n">
        <v>46599</v>
      </c>
      <c r="O212" s="71" t="n">
        <v>46599</v>
      </c>
      <c r="P212" t="n">
        <v>22606.56477277839</v>
      </c>
      <c r="V212" t="n">
        <v>1</v>
      </c>
      <c r="W212" t="inlineStr">
        <is>
          <t>BALANCE TASAS</t>
        </is>
      </c>
      <c r="Y212" t="inlineStr">
        <is>
          <t>BALANCE TASAS</t>
        </is>
      </c>
      <c r="Z212" t="inlineStr">
        <is>
          <t>HTM</t>
        </is>
      </c>
      <c r="AA212" t="n">
        <v>1</v>
      </c>
    </row>
    <row r="213">
      <c r="A213" s="71" t="n">
        <v>45923</v>
      </c>
      <c r="B213" t="n">
        <v>1</v>
      </c>
      <c r="D213" t="inlineStr">
        <is>
          <t>PAS</t>
        </is>
      </c>
      <c r="E213" t="inlineStr">
        <is>
          <t>CLF</t>
        </is>
      </c>
      <c r="F213" t="inlineStr">
        <is>
          <t>CLF</t>
        </is>
      </c>
      <c r="H213" t="inlineStr">
        <is>
          <t>MT_R13_CTA. AHORRO</t>
        </is>
      </c>
      <c r="I213" t="inlineStr">
        <is>
          <t>MT_R13_CTA. AHORRO G.DIF_CORE</t>
        </is>
      </c>
      <c r="K213" t="n">
        <v>24</v>
      </c>
      <c r="M213" s="71" t="n">
        <v>46630</v>
      </c>
      <c r="N213" s="71" t="n">
        <v>46630</v>
      </c>
      <c r="O213" s="71" t="n">
        <v>46630</v>
      </c>
      <c r="P213" t="n">
        <v>22409.27794902371</v>
      </c>
      <c r="V213" t="n">
        <v>1</v>
      </c>
      <c r="W213" t="inlineStr">
        <is>
          <t>BALANCE TASAS</t>
        </is>
      </c>
      <c r="Y213" t="inlineStr">
        <is>
          <t>BALANCE TASAS</t>
        </is>
      </c>
      <c r="Z213" t="inlineStr">
        <is>
          <t>HTM</t>
        </is>
      </c>
      <c r="AA213" t="n">
        <v>1</v>
      </c>
    </row>
    <row r="214">
      <c r="A214" s="71" t="n">
        <v>45923</v>
      </c>
      <c r="B214" t="n">
        <v>1</v>
      </c>
      <c r="D214" t="inlineStr">
        <is>
          <t>PAS</t>
        </is>
      </c>
      <c r="E214" t="inlineStr">
        <is>
          <t>CLF</t>
        </is>
      </c>
      <c r="F214" t="inlineStr">
        <is>
          <t>CLF</t>
        </is>
      </c>
      <c r="H214" t="inlineStr">
        <is>
          <t>MT_R13_CTA. AHORRO</t>
        </is>
      </c>
      <c r="I214" t="inlineStr">
        <is>
          <t>MT_R13_CTA. AHORRO G.DIF_CORE</t>
        </is>
      </c>
      <c r="K214" t="n">
        <v>25</v>
      </c>
      <c r="M214" s="71" t="n">
        <v>46660</v>
      </c>
      <c r="N214" s="71" t="n">
        <v>46660</v>
      </c>
      <c r="O214" s="71" t="n">
        <v>46660</v>
      </c>
      <c r="P214" t="n">
        <v>22211.99112526903</v>
      </c>
      <c r="V214" t="n">
        <v>1</v>
      </c>
      <c r="W214" t="inlineStr">
        <is>
          <t>BALANCE TASAS</t>
        </is>
      </c>
      <c r="Y214" t="inlineStr">
        <is>
          <t>BALANCE TASAS</t>
        </is>
      </c>
      <c r="Z214" t="inlineStr">
        <is>
          <t>HTM</t>
        </is>
      </c>
      <c r="AA214" t="n">
        <v>1</v>
      </c>
    </row>
    <row r="215">
      <c r="A215" s="71" t="n">
        <v>45923</v>
      </c>
      <c r="B215" t="n">
        <v>1</v>
      </c>
      <c r="D215" t="inlineStr">
        <is>
          <t>PAS</t>
        </is>
      </c>
      <c r="E215" t="inlineStr">
        <is>
          <t>CLF</t>
        </is>
      </c>
      <c r="F215" t="inlineStr">
        <is>
          <t>CLF</t>
        </is>
      </c>
      <c r="H215" t="inlineStr">
        <is>
          <t>MT_R13_CTA. AHORRO</t>
        </is>
      </c>
      <c r="I215" t="inlineStr">
        <is>
          <t>MT_R13_CTA. AHORRO G.DIF_CORE</t>
        </is>
      </c>
      <c r="K215" t="n">
        <v>26</v>
      </c>
      <c r="M215" s="71" t="n">
        <v>46691</v>
      </c>
      <c r="N215" s="71" t="n">
        <v>46691</v>
      </c>
      <c r="O215" s="71" t="n">
        <v>46691</v>
      </c>
      <c r="P215" t="n">
        <v>22017.83583839934</v>
      </c>
      <c r="V215" t="n">
        <v>1</v>
      </c>
      <c r="W215" t="inlineStr">
        <is>
          <t>BALANCE TASAS</t>
        </is>
      </c>
      <c r="Y215" t="inlineStr">
        <is>
          <t>BALANCE TASAS</t>
        </is>
      </c>
      <c r="Z215" t="inlineStr">
        <is>
          <t>HTM</t>
        </is>
      </c>
      <c r="AA215" t="n">
        <v>1</v>
      </c>
    </row>
    <row r="216">
      <c r="A216" s="71" t="n">
        <v>45923</v>
      </c>
      <c r="B216" t="n">
        <v>1</v>
      </c>
      <c r="D216" t="inlineStr">
        <is>
          <t>PAS</t>
        </is>
      </c>
      <c r="E216" t="inlineStr">
        <is>
          <t>CLF</t>
        </is>
      </c>
      <c r="F216" t="inlineStr">
        <is>
          <t>CLF</t>
        </is>
      </c>
      <c r="H216" t="inlineStr">
        <is>
          <t>MT_R13_CTA. AHORRO</t>
        </is>
      </c>
      <c r="I216" t="inlineStr">
        <is>
          <t>MT_R13_CTA. AHORRO G.DIF_CORE</t>
        </is>
      </c>
      <c r="K216" t="n">
        <v>27</v>
      </c>
      <c r="M216" s="71" t="n">
        <v>46721</v>
      </c>
      <c r="N216" s="71" t="n">
        <v>46721</v>
      </c>
      <c r="O216" s="71" t="n">
        <v>46721</v>
      </c>
      <c r="P216" t="n">
        <v>21826.81208841465</v>
      </c>
      <c r="V216" t="n">
        <v>1</v>
      </c>
      <c r="W216" t="inlineStr">
        <is>
          <t>BALANCE TASAS</t>
        </is>
      </c>
      <c r="Y216" t="inlineStr">
        <is>
          <t>BALANCE TASAS</t>
        </is>
      </c>
      <c r="Z216" t="inlineStr">
        <is>
          <t>HTM</t>
        </is>
      </c>
      <c r="AA216" t="n">
        <v>1</v>
      </c>
    </row>
    <row r="217">
      <c r="A217" s="71" t="n">
        <v>45923</v>
      </c>
      <c r="B217" t="n">
        <v>1</v>
      </c>
      <c r="D217" t="inlineStr">
        <is>
          <t>PAS</t>
        </is>
      </c>
      <c r="E217" t="inlineStr">
        <is>
          <t>CLF</t>
        </is>
      </c>
      <c r="F217" t="inlineStr">
        <is>
          <t>CLF</t>
        </is>
      </c>
      <c r="H217" t="inlineStr">
        <is>
          <t>MT_R13_CTA. AHORRO</t>
        </is>
      </c>
      <c r="I217" t="inlineStr">
        <is>
          <t>MT_R13_CTA. AHORRO G.DIF_CORE</t>
        </is>
      </c>
      <c r="K217" t="n">
        <v>28</v>
      </c>
      <c r="M217" s="71" t="n">
        <v>46752</v>
      </c>
      <c r="N217" s="71" t="n">
        <v>46752</v>
      </c>
      <c r="O217" s="71" t="n">
        <v>46752</v>
      </c>
      <c r="P217" t="n">
        <v>21635.78833842996</v>
      </c>
      <c r="V217" t="n">
        <v>1</v>
      </c>
      <c r="W217" t="inlineStr">
        <is>
          <t>BALANCE TASAS</t>
        </is>
      </c>
      <c r="Y217" t="inlineStr">
        <is>
          <t>BALANCE TASAS</t>
        </is>
      </c>
      <c r="Z217" t="inlineStr">
        <is>
          <t>HTM</t>
        </is>
      </c>
      <c r="AA217" t="n">
        <v>1</v>
      </c>
    </row>
    <row r="218">
      <c r="A218" s="71" t="n">
        <v>45923</v>
      </c>
      <c r="B218" t="n">
        <v>1</v>
      </c>
      <c r="D218" t="inlineStr">
        <is>
          <t>PAS</t>
        </is>
      </c>
      <c r="E218" t="inlineStr">
        <is>
          <t>CLF</t>
        </is>
      </c>
      <c r="F218" t="inlineStr">
        <is>
          <t>CLF</t>
        </is>
      </c>
      <c r="H218" t="inlineStr">
        <is>
          <t>MT_R13_CTA. AHORRO</t>
        </is>
      </c>
      <c r="I218" t="inlineStr">
        <is>
          <t>MT_R13_CTA. AHORRO G.DIF_CORE</t>
        </is>
      </c>
      <c r="K218" t="n">
        <v>29</v>
      </c>
      <c r="M218" s="71" t="n">
        <v>46783</v>
      </c>
      <c r="N218" s="71" t="n">
        <v>46783</v>
      </c>
      <c r="O218" s="71" t="n">
        <v>46783</v>
      </c>
      <c r="P218" t="n">
        <v>21444.76458844527</v>
      </c>
      <c r="V218" t="n">
        <v>1</v>
      </c>
      <c r="W218" t="inlineStr">
        <is>
          <t>BALANCE TASAS</t>
        </is>
      </c>
      <c r="Y218" t="inlineStr">
        <is>
          <t>BALANCE TASAS</t>
        </is>
      </c>
      <c r="Z218" t="inlineStr">
        <is>
          <t>HTM</t>
        </is>
      </c>
      <c r="AA218" t="n">
        <v>1</v>
      </c>
    </row>
    <row r="219">
      <c r="A219" s="71" t="n">
        <v>45923</v>
      </c>
      <c r="B219" t="n">
        <v>1</v>
      </c>
      <c r="D219" t="inlineStr">
        <is>
          <t>PAS</t>
        </is>
      </c>
      <c r="E219" t="inlineStr">
        <is>
          <t>CLF</t>
        </is>
      </c>
      <c r="F219" t="inlineStr">
        <is>
          <t>CLF</t>
        </is>
      </c>
      <c r="H219" t="inlineStr">
        <is>
          <t>MT_R13_CTA. AHORRO</t>
        </is>
      </c>
      <c r="I219" t="inlineStr">
        <is>
          <t>MT_R13_CTA. AHORRO G.DIF_CORE</t>
        </is>
      </c>
      <c r="K219" t="n">
        <v>30</v>
      </c>
      <c r="M219" s="71" t="n">
        <v>46812</v>
      </c>
      <c r="N219" s="71" t="n">
        <v>46812</v>
      </c>
      <c r="O219" s="71" t="n">
        <v>46812</v>
      </c>
      <c r="P219" t="n">
        <v>21256.87237534557</v>
      </c>
      <c r="V219" t="n">
        <v>1</v>
      </c>
      <c r="W219" t="inlineStr">
        <is>
          <t>BALANCE TASAS</t>
        </is>
      </c>
      <c r="Y219" t="inlineStr">
        <is>
          <t>BALANCE TASAS</t>
        </is>
      </c>
      <c r="Z219" t="inlineStr">
        <is>
          <t>HTM</t>
        </is>
      </c>
      <c r="AA219" t="n">
        <v>1</v>
      </c>
    </row>
    <row r="220">
      <c r="A220" s="71" t="n">
        <v>45923</v>
      </c>
      <c r="B220" t="n">
        <v>1</v>
      </c>
      <c r="D220" t="inlineStr">
        <is>
          <t>PAS</t>
        </is>
      </c>
      <c r="E220" t="inlineStr">
        <is>
          <t>CLF</t>
        </is>
      </c>
      <c r="F220" t="inlineStr">
        <is>
          <t>CLF</t>
        </is>
      </c>
      <c r="H220" t="inlineStr">
        <is>
          <t>MT_R13_CTA. AHORRO</t>
        </is>
      </c>
      <c r="I220" t="inlineStr">
        <is>
          <t>MT_R13_CTA. AHORRO G.DIF_CORE</t>
        </is>
      </c>
      <c r="K220" t="n">
        <v>31</v>
      </c>
      <c r="M220" s="71" t="n">
        <v>46843</v>
      </c>
      <c r="N220" s="71" t="n">
        <v>46843</v>
      </c>
      <c r="O220" s="71" t="n">
        <v>46843</v>
      </c>
      <c r="P220" t="n">
        <v>21072.11169913087</v>
      </c>
      <c r="V220" t="n">
        <v>1</v>
      </c>
      <c r="W220" t="inlineStr">
        <is>
          <t>BALANCE TASAS</t>
        </is>
      </c>
      <c r="Y220" t="inlineStr">
        <is>
          <t>BALANCE TASAS</t>
        </is>
      </c>
      <c r="Z220" t="inlineStr">
        <is>
          <t>HTM</t>
        </is>
      </c>
      <c r="AA220" t="n">
        <v>1</v>
      </c>
    </row>
    <row r="221">
      <c r="A221" s="71" t="n">
        <v>45923</v>
      </c>
      <c r="B221" t="n">
        <v>1</v>
      </c>
      <c r="D221" t="inlineStr">
        <is>
          <t>PAS</t>
        </is>
      </c>
      <c r="E221" t="inlineStr">
        <is>
          <t>CLF</t>
        </is>
      </c>
      <c r="F221" t="inlineStr">
        <is>
          <t>CLF</t>
        </is>
      </c>
      <c r="H221" t="inlineStr">
        <is>
          <t>MT_R13_CTA. AHORRO</t>
        </is>
      </c>
      <c r="I221" t="inlineStr">
        <is>
          <t>MT_R13_CTA. AHORRO G.DIF_CORE</t>
        </is>
      </c>
      <c r="K221" t="n">
        <v>32</v>
      </c>
      <c r="M221" s="71" t="n">
        <v>46873</v>
      </c>
      <c r="N221" s="71" t="n">
        <v>46873</v>
      </c>
      <c r="O221" s="71" t="n">
        <v>46873</v>
      </c>
      <c r="P221" t="n">
        <v>20887.35102291617</v>
      </c>
      <c r="V221" t="n">
        <v>1</v>
      </c>
      <c r="W221" t="inlineStr">
        <is>
          <t>BALANCE TASAS</t>
        </is>
      </c>
      <c r="Y221" t="inlineStr">
        <is>
          <t>BALANCE TASAS</t>
        </is>
      </c>
      <c r="Z221" t="inlineStr">
        <is>
          <t>HTM</t>
        </is>
      </c>
      <c r="AA221" t="n">
        <v>1</v>
      </c>
    </row>
    <row r="222">
      <c r="A222" s="71" t="n">
        <v>45923</v>
      </c>
      <c r="B222" t="n">
        <v>1</v>
      </c>
      <c r="D222" t="inlineStr">
        <is>
          <t>PAS</t>
        </is>
      </c>
      <c r="E222" t="inlineStr">
        <is>
          <t>CLF</t>
        </is>
      </c>
      <c r="F222" t="inlineStr">
        <is>
          <t>CLF</t>
        </is>
      </c>
      <c r="H222" t="inlineStr">
        <is>
          <t>MT_R13_CTA. AHORRO</t>
        </is>
      </c>
      <c r="I222" t="inlineStr">
        <is>
          <t>MT_R13_CTA. AHORRO G.DIF_CORE</t>
        </is>
      </c>
      <c r="K222" t="n">
        <v>33</v>
      </c>
      <c r="M222" s="71" t="n">
        <v>46904</v>
      </c>
      <c r="N222" s="71" t="n">
        <v>46904</v>
      </c>
      <c r="O222" s="71" t="n">
        <v>46904</v>
      </c>
      <c r="P222" t="n">
        <v>20702.59034670147</v>
      </c>
      <c r="V222" t="n">
        <v>1</v>
      </c>
      <c r="W222" t="inlineStr">
        <is>
          <t>BALANCE TASAS</t>
        </is>
      </c>
      <c r="Y222" t="inlineStr">
        <is>
          <t>BALANCE TASAS</t>
        </is>
      </c>
      <c r="Z222" t="inlineStr">
        <is>
          <t>HTM</t>
        </is>
      </c>
      <c r="AA222" t="n">
        <v>1</v>
      </c>
    </row>
    <row r="223">
      <c r="A223" s="71" t="n">
        <v>45923</v>
      </c>
      <c r="B223" t="n">
        <v>1</v>
      </c>
      <c r="D223" t="inlineStr">
        <is>
          <t>PAS</t>
        </is>
      </c>
      <c r="E223" t="inlineStr">
        <is>
          <t>CLF</t>
        </is>
      </c>
      <c r="F223" t="inlineStr">
        <is>
          <t>CLF</t>
        </is>
      </c>
      <c r="H223" t="inlineStr">
        <is>
          <t>MT_R13_CTA. AHORRO</t>
        </is>
      </c>
      <c r="I223" t="inlineStr">
        <is>
          <t>MT_R13_CTA. AHORRO G.DIF_CORE</t>
        </is>
      </c>
      <c r="K223" t="n">
        <v>34</v>
      </c>
      <c r="M223" s="71" t="n">
        <v>46934</v>
      </c>
      <c r="N223" s="71" t="n">
        <v>46934</v>
      </c>
      <c r="O223" s="71" t="n">
        <v>46934</v>
      </c>
      <c r="P223" t="n">
        <v>20520.96120737177</v>
      </c>
      <c r="V223" t="n">
        <v>1</v>
      </c>
      <c r="W223" t="inlineStr">
        <is>
          <t>BALANCE TASAS</t>
        </is>
      </c>
      <c r="Y223" t="inlineStr">
        <is>
          <t>BALANCE TASAS</t>
        </is>
      </c>
      <c r="Z223" t="inlineStr">
        <is>
          <t>HTM</t>
        </is>
      </c>
      <c r="AA223" t="n">
        <v>1</v>
      </c>
    </row>
    <row r="224">
      <c r="A224" s="71" t="n">
        <v>45923</v>
      </c>
      <c r="B224" t="n">
        <v>1</v>
      </c>
      <c r="D224" t="inlineStr">
        <is>
          <t>PAS</t>
        </is>
      </c>
      <c r="E224" t="inlineStr">
        <is>
          <t>CLF</t>
        </is>
      </c>
      <c r="F224" t="inlineStr">
        <is>
          <t>CLF</t>
        </is>
      </c>
      <c r="H224" t="inlineStr">
        <is>
          <t>MT_R13_CTA. AHORRO</t>
        </is>
      </c>
      <c r="I224" t="inlineStr">
        <is>
          <t>MT_R13_CTA. AHORRO G.DIF_CORE</t>
        </is>
      </c>
      <c r="K224" t="n">
        <v>35</v>
      </c>
      <c r="M224" s="71" t="n">
        <v>46965</v>
      </c>
      <c r="N224" s="71" t="n">
        <v>46965</v>
      </c>
      <c r="O224" s="71" t="n">
        <v>46965</v>
      </c>
      <c r="P224" t="n">
        <v>20342.46360492706</v>
      </c>
      <c r="V224" t="n">
        <v>1</v>
      </c>
      <c r="W224" t="inlineStr">
        <is>
          <t>BALANCE TASAS</t>
        </is>
      </c>
      <c r="Y224" t="inlineStr">
        <is>
          <t>BALANCE TASAS</t>
        </is>
      </c>
      <c r="Z224" t="inlineStr">
        <is>
          <t>HTM</t>
        </is>
      </c>
      <c r="AA224" t="n">
        <v>1</v>
      </c>
    </row>
    <row r="225">
      <c r="A225" s="71" t="n">
        <v>45923</v>
      </c>
      <c r="B225" t="n">
        <v>1</v>
      </c>
      <c r="D225" t="inlineStr">
        <is>
          <t>PAS</t>
        </is>
      </c>
      <c r="E225" t="inlineStr">
        <is>
          <t>CLF</t>
        </is>
      </c>
      <c r="F225" t="inlineStr">
        <is>
          <t>CLF</t>
        </is>
      </c>
      <c r="H225" t="inlineStr">
        <is>
          <t>MT_R13_CTA. AHORRO</t>
        </is>
      </c>
      <c r="I225" t="inlineStr">
        <is>
          <t>MT_R13_CTA. AHORRO G.DIF_CORE</t>
        </is>
      </c>
      <c r="K225" t="n">
        <v>36</v>
      </c>
      <c r="M225" s="71" t="n">
        <v>46996</v>
      </c>
      <c r="N225" s="71" t="n">
        <v>46996</v>
      </c>
      <c r="O225" s="71" t="n">
        <v>46996</v>
      </c>
      <c r="P225" t="n">
        <v>20163.96600248235</v>
      </c>
      <c r="V225" t="n">
        <v>1</v>
      </c>
      <c r="W225" t="inlineStr">
        <is>
          <t>BALANCE TASAS</t>
        </is>
      </c>
      <c r="Y225" t="inlineStr">
        <is>
          <t>BALANCE TASAS</t>
        </is>
      </c>
      <c r="Z225" t="inlineStr">
        <is>
          <t>HTM</t>
        </is>
      </c>
      <c r="AA225" t="n">
        <v>1</v>
      </c>
    </row>
    <row r="226">
      <c r="A226" s="71" t="n">
        <v>45923</v>
      </c>
      <c r="B226" t="n">
        <v>1</v>
      </c>
      <c r="D226" t="inlineStr">
        <is>
          <t>PAS</t>
        </is>
      </c>
      <c r="E226" t="inlineStr">
        <is>
          <t>CLF</t>
        </is>
      </c>
      <c r="F226" t="inlineStr">
        <is>
          <t>CLF</t>
        </is>
      </c>
      <c r="H226" t="inlineStr">
        <is>
          <t>MT_R13_CTA. AHORRO</t>
        </is>
      </c>
      <c r="I226" t="inlineStr">
        <is>
          <t>MT_R13_CTA. AHORRO G.DIF_CORE</t>
        </is>
      </c>
      <c r="K226" t="n">
        <v>37</v>
      </c>
      <c r="M226" s="71" t="n">
        <v>47026</v>
      </c>
      <c r="N226" s="71" t="n">
        <v>47026</v>
      </c>
      <c r="O226" s="71" t="n">
        <v>47026</v>
      </c>
      <c r="P226" t="n">
        <v>19985.46840003763</v>
      </c>
      <c r="V226" t="n">
        <v>1</v>
      </c>
      <c r="W226" t="inlineStr">
        <is>
          <t>BALANCE TASAS</t>
        </is>
      </c>
      <c r="Y226" t="inlineStr">
        <is>
          <t>BALANCE TASAS</t>
        </is>
      </c>
      <c r="Z226" t="inlineStr">
        <is>
          <t>HTM</t>
        </is>
      </c>
      <c r="AA226" t="n">
        <v>1</v>
      </c>
    </row>
    <row r="227">
      <c r="A227" s="71" t="n">
        <v>45923</v>
      </c>
      <c r="B227" t="n">
        <v>1</v>
      </c>
      <c r="D227" t="inlineStr">
        <is>
          <t>PAS</t>
        </is>
      </c>
      <c r="E227" t="inlineStr">
        <is>
          <t>CLF</t>
        </is>
      </c>
      <c r="F227" t="inlineStr">
        <is>
          <t>CLF</t>
        </is>
      </c>
      <c r="H227" t="inlineStr">
        <is>
          <t>MT_R13_CTA. AHORRO</t>
        </is>
      </c>
      <c r="I227" t="inlineStr">
        <is>
          <t>MT_R13_CTA. AHORRO G.DIF_CORE</t>
        </is>
      </c>
      <c r="K227" t="n">
        <v>38</v>
      </c>
      <c r="M227" s="71" t="n">
        <v>47057</v>
      </c>
      <c r="N227" s="71" t="n">
        <v>47057</v>
      </c>
      <c r="O227" s="71" t="n">
        <v>47057</v>
      </c>
      <c r="P227" t="n">
        <v>19813.23387136291</v>
      </c>
      <c r="V227" t="n">
        <v>1</v>
      </c>
      <c r="W227" t="inlineStr">
        <is>
          <t>BALANCE TASAS</t>
        </is>
      </c>
      <c r="Y227" t="inlineStr">
        <is>
          <t>BALANCE TASAS</t>
        </is>
      </c>
      <c r="Z227" t="inlineStr">
        <is>
          <t>HTM</t>
        </is>
      </c>
      <c r="AA227" t="n">
        <v>1</v>
      </c>
    </row>
    <row r="228">
      <c r="A228" s="71" t="n">
        <v>45923</v>
      </c>
      <c r="B228" t="n">
        <v>1</v>
      </c>
      <c r="D228" t="inlineStr">
        <is>
          <t>PAS</t>
        </is>
      </c>
      <c r="E228" t="inlineStr">
        <is>
          <t>CLF</t>
        </is>
      </c>
      <c r="F228" t="inlineStr">
        <is>
          <t>CLF</t>
        </is>
      </c>
      <c r="H228" t="inlineStr">
        <is>
          <t>MT_R13_CTA. AHORRO</t>
        </is>
      </c>
      <c r="I228" t="inlineStr">
        <is>
          <t>MT_R13_CTA. AHORRO G.DIF_CORE</t>
        </is>
      </c>
      <c r="K228" t="n">
        <v>39</v>
      </c>
      <c r="M228" s="71" t="n">
        <v>47087</v>
      </c>
      <c r="N228" s="71" t="n">
        <v>47087</v>
      </c>
      <c r="O228" s="71" t="n">
        <v>47087</v>
      </c>
      <c r="P228" t="n">
        <v>19637.8678058032</v>
      </c>
      <c r="V228" t="n">
        <v>1</v>
      </c>
      <c r="W228" t="inlineStr">
        <is>
          <t>BALANCE TASAS</t>
        </is>
      </c>
      <c r="Y228" t="inlineStr">
        <is>
          <t>BALANCE TASAS</t>
        </is>
      </c>
      <c r="Z228" t="inlineStr">
        <is>
          <t>HTM</t>
        </is>
      </c>
      <c r="AA228" t="n">
        <v>1</v>
      </c>
    </row>
    <row r="229">
      <c r="A229" s="71" t="n">
        <v>45923</v>
      </c>
      <c r="B229" t="n">
        <v>1</v>
      </c>
      <c r="D229" t="inlineStr">
        <is>
          <t>PAS</t>
        </is>
      </c>
      <c r="E229" t="inlineStr">
        <is>
          <t>CLF</t>
        </is>
      </c>
      <c r="F229" t="inlineStr">
        <is>
          <t>CLF</t>
        </is>
      </c>
      <c r="H229" t="inlineStr">
        <is>
          <t>MT_R13_CTA. AHORRO</t>
        </is>
      </c>
      <c r="I229" t="inlineStr">
        <is>
          <t>MT_R13_CTA. AHORRO G.DIF_CORE</t>
        </is>
      </c>
      <c r="K229" t="n">
        <v>40</v>
      </c>
      <c r="M229" s="71" t="n">
        <v>47118</v>
      </c>
      <c r="N229" s="71" t="n">
        <v>47118</v>
      </c>
      <c r="O229" s="71" t="n">
        <v>47118</v>
      </c>
      <c r="P229" t="n">
        <v>19465.63327712848</v>
      </c>
      <c r="V229" t="n">
        <v>1</v>
      </c>
      <c r="W229" t="inlineStr">
        <is>
          <t>BALANCE TASAS</t>
        </is>
      </c>
      <c r="Y229" t="inlineStr">
        <is>
          <t>BALANCE TASAS</t>
        </is>
      </c>
      <c r="Z229" t="inlineStr">
        <is>
          <t>HTM</t>
        </is>
      </c>
      <c r="AA229" t="n">
        <v>1</v>
      </c>
    </row>
    <row r="230">
      <c r="A230" s="71" t="n">
        <v>45923</v>
      </c>
      <c r="B230" t="n">
        <v>1</v>
      </c>
      <c r="D230" t="inlineStr">
        <is>
          <t>PAS</t>
        </is>
      </c>
      <c r="E230" t="inlineStr">
        <is>
          <t>CLF</t>
        </is>
      </c>
      <c r="F230" t="inlineStr">
        <is>
          <t>CLF</t>
        </is>
      </c>
      <c r="H230" t="inlineStr">
        <is>
          <t>MT_R13_CTA. AHORRO</t>
        </is>
      </c>
      <c r="I230" t="inlineStr">
        <is>
          <t>MT_R13_CTA. AHORRO G.DIF_CORE</t>
        </is>
      </c>
      <c r="K230" t="n">
        <v>41</v>
      </c>
      <c r="M230" s="71" t="n">
        <v>47149</v>
      </c>
      <c r="N230" s="71" t="n">
        <v>47149</v>
      </c>
      <c r="O230" s="71" t="n">
        <v>47149</v>
      </c>
      <c r="P230" t="n">
        <v>19296.53028533875</v>
      </c>
      <c r="V230" t="n">
        <v>1</v>
      </c>
      <c r="W230" t="inlineStr">
        <is>
          <t>BALANCE TASAS</t>
        </is>
      </c>
      <c r="Y230" t="inlineStr">
        <is>
          <t>BALANCE TASAS</t>
        </is>
      </c>
      <c r="Z230" t="inlineStr">
        <is>
          <t>HTM</t>
        </is>
      </c>
      <c r="AA230" t="n">
        <v>1</v>
      </c>
    </row>
    <row r="231">
      <c r="A231" s="71" t="n">
        <v>45923</v>
      </c>
      <c r="B231" t="n">
        <v>1</v>
      </c>
      <c r="D231" t="inlineStr">
        <is>
          <t>PAS</t>
        </is>
      </c>
      <c r="E231" t="inlineStr">
        <is>
          <t>CLF</t>
        </is>
      </c>
      <c r="F231" t="inlineStr">
        <is>
          <t>CLF</t>
        </is>
      </c>
      <c r="H231" t="inlineStr">
        <is>
          <t>MT_R13_CTA. AHORRO</t>
        </is>
      </c>
      <c r="I231" t="inlineStr">
        <is>
          <t>MT_R13_CTA. AHORRO G.DIF_CORE</t>
        </is>
      </c>
      <c r="K231" t="n">
        <v>42</v>
      </c>
      <c r="M231" s="71" t="n">
        <v>47177</v>
      </c>
      <c r="N231" s="71" t="n">
        <v>47177</v>
      </c>
      <c r="O231" s="71" t="n">
        <v>47177</v>
      </c>
      <c r="P231" t="n">
        <v>19127.42729354902</v>
      </c>
      <c r="V231" t="n">
        <v>1</v>
      </c>
      <c r="W231" t="inlineStr">
        <is>
          <t>BALANCE TASAS</t>
        </is>
      </c>
      <c r="Y231" t="inlineStr">
        <is>
          <t>BALANCE TASAS</t>
        </is>
      </c>
      <c r="Z231" t="inlineStr">
        <is>
          <t>HTM</t>
        </is>
      </c>
      <c r="AA231" t="n">
        <v>1</v>
      </c>
    </row>
    <row r="232">
      <c r="A232" s="71" t="n">
        <v>45923</v>
      </c>
      <c r="B232" t="n">
        <v>1</v>
      </c>
      <c r="D232" t="inlineStr">
        <is>
          <t>PAS</t>
        </is>
      </c>
      <c r="E232" t="inlineStr">
        <is>
          <t>CLF</t>
        </is>
      </c>
      <c r="F232" t="inlineStr">
        <is>
          <t>CLF</t>
        </is>
      </c>
      <c r="H232" t="inlineStr">
        <is>
          <t>MT_R13_CTA. AHORRO</t>
        </is>
      </c>
      <c r="I232" t="inlineStr">
        <is>
          <t>MT_R13_CTA. AHORRO G.DIF_CORE</t>
        </is>
      </c>
      <c r="K232" t="n">
        <v>43</v>
      </c>
      <c r="M232" s="71" t="n">
        <v>47208</v>
      </c>
      <c r="N232" s="71" t="n">
        <v>47208</v>
      </c>
      <c r="O232" s="71" t="n">
        <v>47208</v>
      </c>
      <c r="P232" t="n">
        <v>18958.3243017593</v>
      </c>
      <c r="V232" t="n">
        <v>1</v>
      </c>
      <c r="W232" t="inlineStr">
        <is>
          <t>BALANCE TASAS</t>
        </is>
      </c>
      <c r="Y232" t="inlineStr">
        <is>
          <t>BALANCE TASAS</t>
        </is>
      </c>
      <c r="Z232" t="inlineStr">
        <is>
          <t>HTM</t>
        </is>
      </c>
      <c r="AA232" t="n">
        <v>1</v>
      </c>
    </row>
    <row r="233">
      <c r="A233" s="71" t="n">
        <v>45923</v>
      </c>
      <c r="B233" t="n">
        <v>1</v>
      </c>
      <c r="D233" t="inlineStr">
        <is>
          <t>PAS</t>
        </is>
      </c>
      <c r="E233" t="inlineStr">
        <is>
          <t>CLF</t>
        </is>
      </c>
      <c r="F233" t="inlineStr">
        <is>
          <t>CLF</t>
        </is>
      </c>
      <c r="H233" t="inlineStr">
        <is>
          <t>MT_R13_CTA. AHORRO</t>
        </is>
      </c>
      <c r="I233" t="inlineStr">
        <is>
          <t>MT_R13_CTA. AHORRO G.DIF_CORE</t>
        </is>
      </c>
      <c r="K233" t="n">
        <v>44</v>
      </c>
      <c r="M233" s="71" t="n">
        <v>47238</v>
      </c>
      <c r="N233" s="71" t="n">
        <v>47238</v>
      </c>
      <c r="O233" s="71" t="n">
        <v>47238</v>
      </c>
      <c r="P233" t="n">
        <v>18792.35284685457</v>
      </c>
      <c r="V233" t="n">
        <v>1</v>
      </c>
      <c r="W233" t="inlineStr">
        <is>
          <t>BALANCE TASAS</t>
        </is>
      </c>
      <c r="Y233" t="inlineStr">
        <is>
          <t>BALANCE TASAS</t>
        </is>
      </c>
      <c r="Z233" t="inlineStr">
        <is>
          <t>HTM</t>
        </is>
      </c>
      <c r="AA233" t="n">
        <v>1</v>
      </c>
    </row>
    <row r="234">
      <c r="A234" s="71" t="n">
        <v>45923</v>
      </c>
      <c r="B234" t="n">
        <v>1</v>
      </c>
      <c r="D234" t="inlineStr">
        <is>
          <t>PAS</t>
        </is>
      </c>
      <c r="E234" t="inlineStr">
        <is>
          <t>CLF</t>
        </is>
      </c>
      <c r="F234" t="inlineStr">
        <is>
          <t>CLF</t>
        </is>
      </c>
      <c r="H234" t="inlineStr">
        <is>
          <t>MT_R13_CTA. AHORRO</t>
        </is>
      </c>
      <c r="I234" t="inlineStr">
        <is>
          <t>MT_R13_CTA. AHORRO G.DIF_CORE</t>
        </is>
      </c>
      <c r="K234" t="n">
        <v>45</v>
      </c>
      <c r="M234" s="71" t="n">
        <v>47269</v>
      </c>
      <c r="N234" s="71" t="n">
        <v>47269</v>
      </c>
      <c r="O234" s="71" t="n">
        <v>47269</v>
      </c>
      <c r="P234" t="n">
        <v>18629.51292883483</v>
      </c>
      <c r="V234" t="n">
        <v>1</v>
      </c>
      <c r="W234" t="inlineStr">
        <is>
          <t>BALANCE TASAS</t>
        </is>
      </c>
      <c r="Y234" t="inlineStr">
        <is>
          <t>BALANCE TASAS</t>
        </is>
      </c>
      <c r="Z234" t="inlineStr">
        <is>
          <t>HTM</t>
        </is>
      </c>
      <c r="AA234" t="n">
        <v>1</v>
      </c>
    </row>
    <row r="235">
      <c r="A235" s="71" t="n">
        <v>45923</v>
      </c>
      <c r="B235" t="n">
        <v>1</v>
      </c>
      <c r="D235" t="inlineStr">
        <is>
          <t>PAS</t>
        </is>
      </c>
      <c r="E235" t="inlineStr">
        <is>
          <t>CLF</t>
        </is>
      </c>
      <c r="F235" t="inlineStr">
        <is>
          <t>CLF</t>
        </is>
      </c>
      <c r="H235" t="inlineStr">
        <is>
          <t>MT_R13_CTA. AHORRO</t>
        </is>
      </c>
      <c r="I235" t="inlineStr">
        <is>
          <t>MT_R13_CTA. AHORRO G.DIF_CORE</t>
        </is>
      </c>
      <c r="K235" t="n">
        <v>46</v>
      </c>
      <c r="M235" s="71" t="n">
        <v>47299</v>
      </c>
      <c r="N235" s="71" t="n">
        <v>47299</v>
      </c>
      <c r="O235" s="71" t="n">
        <v>47299</v>
      </c>
      <c r="P235" t="n">
        <v>18463.5414739301</v>
      </c>
      <c r="V235" t="n">
        <v>1</v>
      </c>
      <c r="W235" t="inlineStr">
        <is>
          <t>BALANCE TASAS</t>
        </is>
      </c>
      <c r="Y235" t="inlineStr">
        <is>
          <t>BALANCE TASAS</t>
        </is>
      </c>
      <c r="Z235" t="inlineStr">
        <is>
          <t>HTM</t>
        </is>
      </c>
      <c r="AA235" t="n">
        <v>1</v>
      </c>
    </row>
    <row r="236">
      <c r="A236" s="71" t="n">
        <v>45923</v>
      </c>
      <c r="B236" t="n">
        <v>1</v>
      </c>
      <c r="D236" t="inlineStr">
        <is>
          <t>PAS</t>
        </is>
      </c>
      <c r="E236" t="inlineStr">
        <is>
          <t>CLF</t>
        </is>
      </c>
      <c r="F236" t="inlineStr">
        <is>
          <t>CLF</t>
        </is>
      </c>
      <c r="H236" t="inlineStr">
        <is>
          <t>MT_R13_CTA. AHORRO</t>
        </is>
      </c>
      <c r="I236" t="inlineStr">
        <is>
          <t>MT_R13_CTA. AHORRO G.DIF_CORE</t>
        </is>
      </c>
      <c r="K236" t="n">
        <v>47</v>
      </c>
      <c r="M236" s="71" t="n">
        <v>47330</v>
      </c>
      <c r="N236" s="71" t="n">
        <v>47330</v>
      </c>
      <c r="O236" s="71" t="n">
        <v>47330</v>
      </c>
      <c r="P236" t="n">
        <v>18303.83309279536</v>
      </c>
      <c r="V236" t="n">
        <v>1</v>
      </c>
      <c r="W236" t="inlineStr">
        <is>
          <t>BALANCE TASAS</t>
        </is>
      </c>
      <c r="Y236" t="inlineStr">
        <is>
          <t>BALANCE TASAS</t>
        </is>
      </c>
      <c r="Z236" t="inlineStr">
        <is>
          <t>HTM</t>
        </is>
      </c>
      <c r="AA236" t="n">
        <v>1</v>
      </c>
    </row>
    <row r="237">
      <c r="A237" s="71" t="n">
        <v>45923</v>
      </c>
      <c r="B237" t="n">
        <v>1</v>
      </c>
      <c r="D237" t="inlineStr">
        <is>
          <t>PAS</t>
        </is>
      </c>
      <c r="E237" t="inlineStr">
        <is>
          <t>CLF</t>
        </is>
      </c>
      <c r="F237" t="inlineStr">
        <is>
          <t>CLF</t>
        </is>
      </c>
      <c r="H237" t="inlineStr">
        <is>
          <t>MT_R13_CTA. AHORRO</t>
        </is>
      </c>
      <c r="I237" t="inlineStr">
        <is>
          <t>MT_R13_CTA. AHORRO G.DIF_CORE</t>
        </is>
      </c>
      <c r="K237" t="n">
        <v>48</v>
      </c>
      <c r="M237" s="71" t="n">
        <v>47361</v>
      </c>
      <c r="N237" s="71" t="n">
        <v>47361</v>
      </c>
      <c r="O237" s="71" t="n">
        <v>47361</v>
      </c>
      <c r="P237" t="n">
        <v>18144.12471166062</v>
      </c>
      <c r="V237" t="n">
        <v>1</v>
      </c>
      <c r="W237" t="inlineStr">
        <is>
          <t>BALANCE TASAS</t>
        </is>
      </c>
      <c r="Y237" t="inlineStr">
        <is>
          <t>BALANCE TASAS</t>
        </is>
      </c>
      <c r="Z237" t="inlineStr">
        <is>
          <t>HTM</t>
        </is>
      </c>
      <c r="AA237" t="n">
        <v>1</v>
      </c>
    </row>
    <row r="238">
      <c r="A238" s="71" t="n">
        <v>45923</v>
      </c>
      <c r="B238" t="n">
        <v>1</v>
      </c>
      <c r="D238" t="inlineStr">
        <is>
          <t>PAS</t>
        </is>
      </c>
      <c r="E238" t="inlineStr">
        <is>
          <t>CLF</t>
        </is>
      </c>
      <c r="F238" t="inlineStr">
        <is>
          <t>CLF</t>
        </is>
      </c>
      <c r="H238" t="inlineStr">
        <is>
          <t>MT_R13_CTA. AHORRO</t>
        </is>
      </c>
      <c r="I238" t="inlineStr">
        <is>
          <t>MT_R13_CTA. AHORRO G.DIF_CORE</t>
        </is>
      </c>
      <c r="K238" t="n">
        <v>49</v>
      </c>
      <c r="M238" s="71" t="n">
        <v>47391</v>
      </c>
      <c r="N238" s="71" t="n">
        <v>47391</v>
      </c>
      <c r="O238" s="71" t="n">
        <v>47391</v>
      </c>
      <c r="P238" t="n">
        <v>17984.41633052587</v>
      </c>
      <c r="V238" t="n">
        <v>1</v>
      </c>
      <c r="W238" t="inlineStr">
        <is>
          <t>BALANCE TASAS</t>
        </is>
      </c>
      <c r="Y238" t="inlineStr">
        <is>
          <t>BALANCE TASAS</t>
        </is>
      </c>
      <c r="Z238" t="inlineStr">
        <is>
          <t>HTM</t>
        </is>
      </c>
      <c r="AA238" t="n">
        <v>1</v>
      </c>
    </row>
    <row r="239">
      <c r="A239" s="71" t="n">
        <v>45923</v>
      </c>
      <c r="B239" t="n">
        <v>1</v>
      </c>
      <c r="D239" t="inlineStr">
        <is>
          <t>PAS</t>
        </is>
      </c>
      <c r="E239" t="inlineStr">
        <is>
          <t>CLF</t>
        </is>
      </c>
      <c r="F239" t="inlineStr">
        <is>
          <t>CLF</t>
        </is>
      </c>
      <c r="H239" t="inlineStr">
        <is>
          <t>MT_R13_CTA. AHORRO</t>
        </is>
      </c>
      <c r="I239" t="inlineStr">
        <is>
          <t>MT_R13_CTA. AHORRO G.DIF_CORE</t>
        </is>
      </c>
      <c r="K239" t="n">
        <v>50</v>
      </c>
      <c r="M239" s="71" t="n">
        <v>47422</v>
      </c>
      <c r="N239" s="71" t="n">
        <v>47422</v>
      </c>
      <c r="O239" s="71" t="n">
        <v>47422</v>
      </c>
      <c r="P239" t="n">
        <v>17827.83948627613</v>
      </c>
      <c r="V239" t="n">
        <v>1</v>
      </c>
      <c r="W239" t="inlineStr">
        <is>
          <t>BALANCE TASAS</t>
        </is>
      </c>
      <c r="Y239" t="inlineStr">
        <is>
          <t>BALANCE TASAS</t>
        </is>
      </c>
      <c r="Z239" t="inlineStr">
        <is>
          <t>HTM</t>
        </is>
      </c>
      <c r="AA239" t="n">
        <v>1</v>
      </c>
    </row>
    <row r="240">
      <c r="A240" s="71" t="n">
        <v>45923</v>
      </c>
      <c r="B240" t="n">
        <v>1</v>
      </c>
      <c r="D240" t="inlineStr">
        <is>
          <t>PAS</t>
        </is>
      </c>
      <c r="E240" t="inlineStr">
        <is>
          <t>CLF</t>
        </is>
      </c>
      <c r="F240" t="inlineStr">
        <is>
          <t>CLF</t>
        </is>
      </c>
      <c r="H240" t="inlineStr">
        <is>
          <t>MT_R13_CTA. AHORRO</t>
        </is>
      </c>
      <c r="I240" t="inlineStr">
        <is>
          <t>MT_R13_CTA. AHORRO G.DIF_CORE</t>
        </is>
      </c>
      <c r="K240" t="n">
        <v>51</v>
      </c>
      <c r="M240" s="71" t="n">
        <v>47452</v>
      </c>
      <c r="N240" s="71" t="n">
        <v>47452</v>
      </c>
      <c r="O240" s="71" t="n">
        <v>47452</v>
      </c>
      <c r="P240" t="n">
        <v>17671.26264202638</v>
      </c>
      <c r="V240" t="n">
        <v>1</v>
      </c>
      <c r="W240" t="inlineStr">
        <is>
          <t>BALANCE TASAS</t>
        </is>
      </c>
      <c r="Y240" t="inlineStr">
        <is>
          <t>BALANCE TASAS</t>
        </is>
      </c>
      <c r="Z240" t="inlineStr">
        <is>
          <t>HTM</t>
        </is>
      </c>
      <c r="AA240" t="n">
        <v>1</v>
      </c>
    </row>
    <row r="241">
      <c r="A241" s="71" t="n">
        <v>45923</v>
      </c>
      <c r="B241" t="n">
        <v>1</v>
      </c>
      <c r="D241" t="inlineStr">
        <is>
          <t>PAS</t>
        </is>
      </c>
      <c r="E241" t="inlineStr">
        <is>
          <t>CLF</t>
        </is>
      </c>
      <c r="F241" t="inlineStr">
        <is>
          <t>CLF</t>
        </is>
      </c>
      <c r="H241" t="inlineStr">
        <is>
          <t>MT_R13_CTA. AHORRO</t>
        </is>
      </c>
      <c r="I241" t="inlineStr">
        <is>
          <t>MT_R13_CTA. AHORRO G.DIF_CORE</t>
        </is>
      </c>
      <c r="K241" t="n">
        <v>52</v>
      </c>
      <c r="M241" s="71" t="n">
        <v>47483</v>
      </c>
      <c r="N241" s="71" t="n">
        <v>47483</v>
      </c>
      <c r="O241" s="71" t="n">
        <v>47483</v>
      </c>
      <c r="P241" t="n">
        <v>17514.68579777664</v>
      </c>
      <c r="V241" t="n">
        <v>1</v>
      </c>
      <c r="W241" t="inlineStr">
        <is>
          <t>BALANCE TASAS</t>
        </is>
      </c>
      <c r="Y241" t="inlineStr">
        <is>
          <t>BALANCE TASAS</t>
        </is>
      </c>
      <c r="Z241" t="inlineStr">
        <is>
          <t>HTM</t>
        </is>
      </c>
      <c r="AA241" t="n">
        <v>1</v>
      </c>
    </row>
    <row r="242">
      <c r="A242" s="71" t="n">
        <v>45923</v>
      </c>
      <c r="B242" t="n">
        <v>1</v>
      </c>
      <c r="D242" t="inlineStr">
        <is>
          <t>PAS</t>
        </is>
      </c>
      <c r="E242" t="inlineStr">
        <is>
          <t>CLF</t>
        </is>
      </c>
      <c r="F242" t="inlineStr">
        <is>
          <t>CLF</t>
        </is>
      </c>
      <c r="H242" t="inlineStr">
        <is>
          <t>MT_R13_CTA. AHORRO</t>
        </is>
      </c>
      <c r="I242" t="inlineStr">
        <is>
          <t>MT_R13_CTA. AHORRO G.DIF_CORE</t>
        </is>
      </c>
      <c r="K242" t="n">
        <v>53</v>
      </c>
      <c r="M242" s="71" t="n">
        <v>47514</v>
      </c>
      <c r="N242" s="71" t="n">
        <v>47514</v>
      </c>
      <c r="O242" s="71" t="n">
        <v>47514</v>
      </c>
      <c r="P242" t="n">
        <v>17361.24049041188</v>
      </c>
      <c r="V242" t="n">
        <v>1</v>
      </c>
      <c r="W242" t="inlineStr">
        <is>
          <t>BALANCE TASAS</t>
        </is>
      </c>
      <c r="Y242" t="inlineStr">
        <is>
          <t>BALANCE TASAS</t>
        </is>
      </c>
      <c r="Z242" t="inlineStr">
        <is>
          <t>HTM</t>
        </is>
      </c>
      <c r="AA242" t="n">
        <v>1</v>
      </c>
    </row>
    <row r="243">
      <c r="A243" s="71" t="n">
        <v>45923</v>
      </c>
      <c r="B243" t="n">
        <v>1</v>
      </c>
      <c r="D243" t="inlineStr">
        <is>
          <t>PAS</t>
        </is>
      </c>
      <c r="E243" t="inlineStr">
        <is>
          <t>CLF</t>
        </is>
      </c>
      <c r="F243" t="inlineStr">
        <is>
          <t>CLF</t>
        </is>
      </c>
      <c r="H243" t="inlineStr">
        <is>
          <t>MT_R13_CTA. AHORRO</t>
        </is>
      </c>
      <c r="I243" t="inlineStr">
        <is>
          <t>MT_R13_CTA. AHORRO G.DIF_CORE</t>
        </is>
      </c>
      <c r="K243" t="n">
        <v>54</v>
      </c>
      <c r="M243" s="71" t="n">
        <v>47542</v>
      </c>
      <c r="N243" s="71" t="n">
        <v>47542</v>
      </c>
      <c r="O243" s="71" t="n">
        <v>47542</v>
      </c>
      <c r="P243" t="n">
        <v>17210.92671993213</v>
      </c>
      <c r="V243" t="n">
        <v>1</v>
      </c>
      <c r="W243" t="inlineStr">
        <is>
          <t>BALANCE TASAS</t>
        </is>
      </c>
      <c r="Y243" t="inlineStr">
        <is>
          <t>BALANCE TASAS</t>
        </is>
      </c>
      <c r="Z243" t="inlineStr">
        <is>
          <t>HTM</t>
        </is>
      </c>
      <c r="AA243" t="n">
        <v>1</v>
      </c>
    </row>
    <row r="244">
      <c r="A244" s="71" t="n">
        <v>45923</v>
      </c>
      <c r="B244" t="n">
        <v>1</v>
      </c>
      <c r="D244" t="inlineStr">
        <is>
          <t>PAS</t>
        </is>
      </c>
      <c r="E244" t="inlineStr">
        <is>
          <t>CLF</t>
        </is>
      </c>
      <c r="F244" t="inlineStr">
        <is>
          <t>CLF</t>
        </is>
      </c>
      <c r="H244" t="inlineStr">
        <is>
          <t>MT_R13_CTA. AHORRO</t>
        </is>
      </c>
      <c r="I244" t="inlineStr">
        <is>
          <t>MT_R13_CTA. AHORRO G.DIF_CORE</t>
        </is>
      </c>
      <c r="K244" t="n">
        <v>55</v>
      </c>
      <c r="M244" s="71" t="n">
        <v>47573</v>
      </c>
      <c r="N244" s="71" t="n">
        <v>47573</v>
      </c>
      <c r="O244" s="71" t="n">
        <v>47573</v>
      </c>
      <c r="P244" t="n">
        <v>17057.48141256738</v>
      </c>
      <c r="V244" t="n">
        <v>1</v>
      </c>
      <c r="W244" t="inlineStr">
        <is>
          <t>BALANCE TASAS</t>
        </is>
      </c>
      <c r="Y244" t="inlineStr">
        <is>
          <t>BALANCE TASAS</t>
        </is>
      </c>
      <c r="Z244" t="inlineStr">
        <is>
          <t>HTM</t>
        </is>
      </c>
      <c r="AA244" t="n">
        <v>1</v>
      </c>
    </row>
    <row r="245">
      <c r="A245" s="71" t="n">
        <v>45923</v>
      </c>
      <c r="B245" t="n">
        <v>1</v>
      </c>
      <c r="D245" t="inlineStr">
        <is>
          <t>PAS</t>
        </is>
      </c>
      <c r="E245" t="inlineStr">
        <is>
          <t>CLF</t>
        </is>
      </c>
      <c r="F245" t="inlineStr">
        <is>
          <t>CLF</t>
        </is>
      </c>
      <c r="H245" t="inlineStr">
        <is>
          <t>MT_R13_CTA. AHORRO</t>
        </is>
      </c>
      <c r="I245" t="inlineStr">
        <is>
          <t>MT_R13_CTA. AHORRO G.DIF_CORE</t>
        </is>
      </c>
      <c r="K245" t="n">
        <v>56</v>
      </c>
      <c r="M245" s="71" t="n">
        <v>47603</v>
      </c>
      <c r="N245" s="71" t="n">
        <v>47603</v>
      </c>
      <c r="O245" s="71" t="n">
        <v>47603</v>
      </c>
      <c r="P245" t="n">
        <v>16910.29917897261</v>
      </c>
      <c r="V245" t="n">
        <v>1</v>
      </c>
      <c r="W245" t="inlineStr">
        <is>
          <t>BALANCE TASAS</t>
        </is>
      </c>
      <c r="Y245" t="inlineStr">
        <is>
          <t>BALANCE TASAS</t>
        </is>
      </c>
      <c r="Z245" t="inlineStr">
        <is>
          <t>HTM</t>
        </is>
      </c>
      <c r="AA245" t="n">
        <v>1</v>
      </c>
    </row>
    <row r="246">
      <c r="A246" s="71" t="n">
        <v>45923</v>
      </c>
      <c r="B246" t="n">
        <v>1</v>
      </c>
      <c r="D246" t="inlineStr">
        <is>
          <t>PAS</t>
        </is>
      </c>
      <c r="E246" t="inlineStr">
        <is>
          <t>CLF</t>
        </is>
      </c>
      <c r="F246" t="inlineStr">
        <is>
          <t>CLF</t>
        </is>
      </c>
      <c r="H246" t="inlineStr">
        <is>
          <t>MT_R13_CTA. AHORRO</t>
        </is>
      </c>
      <c r="I246" t="inlineStr">
        <is>
          <t>MT_R13_CTA. AHORRO G.DIF_CORE</t>
        </is>
      </c>
      <c r="K246" t="n">
        <v>57</v>
      </c>
      <c r="M246" s="71" t="n">
        <v>47634</v>
      </c>
      <c r="N246" s="71" t="n">
        <v>47634</v>
      </c>
      <c r="O246" s="71" t="n">
        <v>47634</v>
      </c>
      <c r="P246" t="n">
        <v>16759.98540849286</v>
      </c>
      <c r="V246" t="n">
        <v>1</v>
      </c>
      <c r="W246" t="inlineStr">
        <is>
          <t>BALANCE TASAS</t>
        </is>
      </c>
      <c r="Y246" t="inlineStr">
        <is>
          <t>BALANCE TASAS</t>
        </is>
      </c>
      <c r="Z246" t="inlineStr">
        <is>
          <t>HTM</t>
        </is>
      </c>
      <c r="AA246" t="n">
        <v>1</v>
      </c>
    </row>
    <row r="247">
      <c r="A247" s="71" t="n">
        <v>45923</v>
      </c>
      <c r="B247" t="n">
        <v>1</v>
      </c>
      <c r="D247" t="inlineStr">
        <is>
          <t>PAS</t>
        </is>
      </c>
      <c r="E247" t="inlineStr">
        <is>
          <t>CLF</t>
        </is>
      </c>
      <c r="F247" t="inlineStr">
        <is>
          <t>CLF</t>
        </is>
      </c>
      <c r="H247" t="inlineStr">
        <is>
          <t>MT_R13_CTA. AHORRO</t>
        </is>
      </c>
      <c r="I247" t="inlineStr">
        <is>
          <t>MT_R13_CTA. AHORRO G.DIF_CORE</t>
        </is>
      </c>
      <c r="K247" t="n">
        <v>58</v>
      </c>
      <c r="M247" s="71" t="n">
        <v>47664</v>
      </c>
      <c r="N247" s="71" t="n">
        <v>47664</v>
      </c>
      <c r="O247" s="71" t="n">
        <v>47664</v>
      </c>
      <c r="P247" t="n">
        <v>16615.93471178309</v>
      </c>
      <c r="V247" t="n">
        <v>1</v>
      </c>
      <c r="W247" t="inlineStr">
        <is>
          <t>BALANCE TASAS</t>
        </is>
      </c>
      <c r="Y247" t="inlineStr">
        <is>
          <t>BALANCE TASAS</t>
        </is>
      </c>
      <c r="Z247" t="inlineStr">
        <is>
          <t>HTM</t>
        </is>
      </c>
      <c r="AA247" t="n">
        <v>1</v>
      </c>
    </row>
    <row r="248">
      <c r="A248" s="71" t="n">
        <v>45923</v>
      </c>
      <c r="B248" t="n">
        <v>1</v>
      </c>
      <c r="D248" t="inlineStr">
        <is>
          <t>PAS</t>
        </is>
      </c>
      <c r="E248" t="inlineStr">
        <is>
          <t>CLF</t>
        </is>
      </c>
      <c r="F248" t="inlineStr">
        <is>
          <t>CLF</t>
        </is>
      </c>
      <c r="H248" t="inlineStr">
        <is>
          <t>MT_R13_CTA. AHORRO</t>
        </is>
      </c>
      <c r="I248" t="inlineStr">
        <is>
          <t>MT_R13_CTA. AHORRO G.DIF_CORE</t>
        </is>
      </c>
      <c r="K248" t="n">
        <v>59</v>
      </c>
      <c r="M248" s="71" t="n">
        <v>47695</v>
      </c>
      <c r="N248" s="71" t="n">
        <v>47695</v>
      </c>
      <c r="O248" s="71" t="n">
        <v>47695</v>
      </c>
      <c r="P248" t="n">
        <v>16468.75247818833</v>
      </c>
      <c r="V248" t="n">
        <v>1</v>
      </c>
      <c r="W248" t="inlineStr">
        <is>
          <t>BALANCE TASAS</t>
        </is>
      </c>
      <c r="Y248" t="inlineStr">
        <is>
          <t>BALANCE TASAS</t>
        </is>
      </c>
      <c r="Z248" t="inlineStr">
        <is>
          <t>HTM</t>
        </is>
      </c>
      <c r="AA248" t="n">
        <v>1</v>
      </c>
    </row>
    <row r="249">
      <c r="A249" s="71" t="n">
        <v>45923</v>
      </c>
      <c r="B249" t="n">
        <v>1</v>
      </c>
      <c r="D249" t="inlineStr">
        <is>
          <t>PAS</t>
        </is>
      </c>
      <c r="E249" t="inlineStr">
        <is>
          <t>CLF</t>
        </is>
      </c>
      <c r="F249" t="inlineStr">
        <is>
          <t>CLF</t>
        </is>
      </c>
      <c r="H249" t="inlineStr">
        <is>
          <t>MT_R13_CTA. AHORRO</t>
        </is>
      </c>
      <c r="I249" t="inlineStr">
        <is>
          <t>MT_R13_CTA. AHORRO G.DIF_CORE</t>
        </is>
      </c>
      <c r="K249" t="n">
        <v>60</v>
      </c>
      <c r="M249" s="71" t="n">
        <v>47726</v>
      </c>
      <c r="N249" s="71" t="n">
        <v>47726</v>
      </c>
      <c r="O249" s="71" t="n">
        <v>47726</v>
      </c>
      <c r="P249" t="n">
        <v>16324.70178147856</v>
      </c>
      <c r="V249" t="n">
        <v>1</v>
      </c>
      <c r="W249" t="inlineStr">
        <is>
          <t>BALANCE TASAS</t>
        </is>
      </c>
      <c r="Y249" t="inlineStr">
        <is>
          <t>BALANCE TASAS</t>
        </is>
      </c>
      <c r="Z249" t="inlineStr">
        <is>
          <t>HTM</t>
        </is>
      </c>
      <c r="AA249" t="n">
        <v>1</v>
      </c>
    </row>
    <row r="250">
      <c r="A250" s="71" t="n">
        <v>45923</v>
      </c>
      <c r="B250" t="n">
        <v>1</v>
      </c>
      <c r="D250" t="inlineStr">
        <is>
          <t>PAS</t>
        </is>
      </c>
      <c r="E250" t="inlineStr">
        <is>
          <t>CLF</t>
        </is>
      </c>
      <c r="F250" t="inlineStr">
        <is>
          <t>CLF</t>
        </is>
      </c>
      <c r="H250" t="inlineStr">
        <is>
          <t>MT_R13_CTA. AHORRO</t>
        </is>
      </c>
      <c r="I250" t="inlineStr">
        <is>
          <t>MT_R13_CTA. AHORRO G.DIF_CORE</t>
        </is>
      </c>
      <c r="K250" t="n">
        <v>61</v>
      </c>
      <c r="M250" s="71" t="n">
        <v>47756</v>
      </c>
      <c r="N250" s="71" t="n">
        <v>47756</v>
      </c>
      <c r="O250" s="71" t="n">
        <v>47756</v>
      </c>
      <c r="P250" t="n">
        <v>16180.6510847688</v>
      </c>
      <c r="V250" t="n">
        <v>1</v>
      </c>
      <c r="W250" t="inlineStr">
        <is>
          <t>BALANCE TASAS</t>
        </is>
      </c>
      <c r="Y250" t="inlineStr">
        <is>
          <t>BALANCE TASAS</t>
        </is>
      </c>
      <c r="Z250" t="inlineStr">
        <is>
          <t>HTM</t>
        </is>
      </c>
      <c r="AA250" t="n">
        <v>1</v>
      </c>
    </row>
    <row r="251">
      <c r="A251" s="71" t="n">
        <v>45923</v>
      </c>
      <c r="B251" t="n">
        <v>1</v>
      </c>
      <c r="D251" t="inlineStr">
        <is>
          <t>PAS</t>
        </is>
      </c>
      <c r="E251" t="inlineStr">
        <is>
          <t>CLF</t>
        </is>
      </c>
      <c r="F251" t="inlineStr">
        <is>
          <t>CLF</t>
        </is>
      </c>
      <c r="H251" t="inlineStr">
        <is>
          <t>MT_R13_CTA. AHORRO</t>
        </is>
      </c>
      <c r="I251" t="inlineStr">
        <is>
          <t>MT_R13_CTA. AHORRO G.DIF_CORE</t>
        </is>
      </c>
      <c r="K251" t="n">
        <v>62</v>
      </c>
      <c r="M251" s="71" t="n">
        <v>47787</v>
      </c>
      <c r="N251" s="71" t="n">
        <v>47787</v>
      </c>
      <c r="O251" s="71" t="n">
        <v>47787</v>
      </c>
      <c r="P251" t="n">
        <v>16039.73192494402</v>
      </c>
      <c r="V251" t="n">
        <v>1</v>
      </c>
      <c r="W251" t="inlineStr">
        <is>
          <t>BALANCE TASAS</t>
        </is>
      </c>
      <c r="Y251" t="inlineStr">
        <is>
          <t>BALANCE TASAS</t>
        </is>
      </c>
      <c r="Z251" t="inlineStr">
        <is>
          <t>HTM</t>
        </is>
      </c>
      <c r="AA251" t="n">
        <v>1</v>
      </c>
    </row>
    <row r="252">
      <c r="A252" s="71" t="n">
        <v>45923</v>
      </c>
      <c r="B252" t="n">
        <v>1</v>
      </c>
      <c r="D252" t="inlineStr">
        <is>
          <t>PAS</t>
        </is>
      </c>
      <c r="E252" t="inlineStr">
        <is>
          <t>CLF</t>
        </is>
      </c>
      <c r="F252" t="inlineStr">
        <is>
          <t>CLF</t>
        </is>
      </c>
      <c r="H252" t="inlineStr">
        <is>
          <t>MT_R13_CTA. AHORRO</t>
        </is>
      </c>
      <c r="I252" t="inlineStr">
        <is>
          <t>MT_R13_CTA. AHORRO G.DIF_CORE</t>
        </is>
      </c>
      <c r="K252" t="n">
        <v>63</v>
      </c>
      <c r="M252" s="71" t="n">
        <v>47817</v>
      </c>
      <c r="N252" s="71" t="n">
        <v>47817</v>
      </c>
      <c r="O252" s="71" t="n">
        <v>47817</v>
      </c>
      <c r="P252" t="n">
        <v>15898.81276511925</v>
      </c>
      <c r="V252" t="n">
        <v>1</v>
      </c>
      <c r="W252" t="inlineStr">
        <is>
          <t>BALANCE TASAS</t>
        </is>
      </c>
      <c r="Y252" t="inlineStr">
        <is>
          <t>BALANCE TASAS</t>
        </is>
      </c>
      <c r="Z252" t="inlineStr">
        <is>
          <t>HTM</t>
        </is>
      </c>
      <c r="AA252" t="n">
        <v>1</v>
      </c>
    </row>
    <row r="253">
      <c r="A253" s="71" t="n">
        <v>45923</v>
      </c>
      <c r="B253" t="n">
        <v>1</v>
      </c>
      <c r="D253" t="inlineStr">
        <is>
          <t>PAS</t>
        </is>
      </c>
      <c r="E253" t="inlineStr">
        <is>
          <t>CLF</t>
        </is>
      </c>
      <c r="F253" t="inlineStr">
        <is>
          <t>CLF</t>
        </is>
      </c>
      <c r="H253" t="inlineStr">
        <is>
          <t>MT_R13_CTA. AHORRO</t>
        </is>
      </c>
      <c r="I253" t="inlineStr">
        <is>
          <t>MT_R13_CTA. AHORRO G.DIF_CORE</t>
        </is>
      </c>
      <c r="K253" t="n">
        <v>64</v>
      </c>
      <c r="M253" s="71" t="n">
        <v>47848</v>
      </c>
      <c r="N253" s="71" t="n">
        <v>47848</v>
      </c>
      <c r="O253" s="71" t="n">
        <v>47848</v>
      </c>
      <c r="P253" t="n">
        <v>15761.02514217948</v>
      </c>
      <c r="V253" t="n">
        <v>1</v>
      </c>
      <c r="W253" t="inlineStr">
        <is>
          <t>BALANCE TASAS</t>
        </is>
      </c>
      <c r="Y253" t="inlineStr">
        <is>
          <t>BALANCE TASAS</t>
        </is>
      </c>
      <c r="Z253" t="inlineStr">
        <is>
          <t>HTM</t>
        </is>
      </c>
      <c r="AA253" t="n">
        <v>1</v>
      </c>
    </row>
    <row r="254">
      <c r="A254" s="71" t="n">
        <v>45923</v>
      </c>
      <c r="B254" t="n">
        <v>1</v>
      </c>
      <c r="D254" t="inlineStr">
        <is>
          <t>PAS</t>
        </is>
      </c>
      <c r="E254" t="inlineStr">
        <is>
          <t>CLF</t>
        </is>
      </c>
      <c r="F254" t="inlineStr">
        <is>
          <t>CLF</t>
        </is>
      </c>
      <c r="H254" t="inlineStr">
        <is>
          <t>MT_R13_CTA. AHORRO</t>
        </is>
      </c>
      <c r="I254" t="inlineStr">
        <is>
          <t>MT_R13_CTA. AHORRO G.DIF_CORE</t>
        </is>
      </c>
      <c r="K254" t="n">
        <v>65</v>
      </c>
      <c r="M254" s="71" t="n">
        <v>47879</v>
      </c>
      <c r="N254" s="71" t="n">
        <v>47879</v>
      </c>
      <c r="O254" s="71" t="n">
        <v>47879</v>
      </c>
      <c r="P254" t="n">
        <v>15623.2375192397</v>
      </c>
      <c r="V254" t="n">
        <v>1</v>
      </c>
      <c r="W254" t="inlineStr">
        <is>
          <t>BALANCE TASAS</t>
        </is>
      </c>
      <c r="Y254" t="inlineStr">
        <is>
          <t>BALANCE TASAS</t>
        </is>
      </c>
      <c r="Z254" t="inlineStr">
        <is>
          <t>HTM</t>
        </is>
      </c>
      <c r="AA254" t="n">
        <v>1</v>
      </c>
    </row>
    <row r="255">
      <c r="A255" s="71" t="n">
        <v>45923</v>
      </c>
      <c r="B255" t="n">
        <v>1</v>
      </c>
      <c r="D255" t="inlineStr">
        <is>
          <t>PAS</t>
        </is>
      </c>
      <c r="E255" t="inlineStr">
        <is>
          <t>CLF</t>
        </is>
      </c>
      <c r="F255" t="inlineStr">
        <is>
          <t>CLF</t>
        </is>
      </c>
      <c r="H255" t="inlineStr">
        <is>
          <t>MT_R13_CTA. AHORRO</t>
        </is>
      </c>
      <c r="I255" t="inlineStr">
        <is>
          <t>MT_R13_CTA. AHORRO G.DIF_CORE</t>
        </is>
      </c>
      <c r="K255" t="n">
        <v>66</v>
      </c>
      <c r="M255" s="71" t="n">
        <v>47907</v>
      </c>
      <c r="N255" s="71" t="n">
        <v>47907</v>
      </c>
      <c r="O255" s="71" t="n">
        <v>47907</v>
      </c>
      <c r="P255" t="n">
        <v>15485.44989629992</v>
      </c>
      <c r="V255" t="n">
        <v>1</v>
      </c>
      <c r="W255" t="inlineStr">
        <is>
          <t>BALANCE TASAS</t>
        </is>
      </c>
      <c r="Y255" t="inlineStr">
        <is>
          <t>BALANCE TASAS</t>
        </is>
      </c>
      <c r="Z255" t="inlineStr">
        <is>
          <t>HTM</t>
        </is>
      </c>
      <c r="AA255" t="n">
        <v>1</v>
      </c>
    </row>
    <row r="256">
      <c r="A256" s="71" t="n">
        <v>45923</v>
      </c>
      <c r="B256" t="n">
        <v>1</v>
      </c>
      <c r="D256" t="inlineStr">
        <is>
          <t>PAS</t>
        </is>
      </c>
      <c r="E256" t="inlineStr">
        <is>
          <t>CLF</t>
        </is>
      </c>
      <c r="F256" t="inlineStr">
        <is>
          <t>CLF</t>
        </is>
      </c>
      <c r="H256" t="inlineStr">
        <is>
          <t>MT_R13_CTA. AHORRO</t>
        </is>
      </c>
      <c r="I256" t="inlineStr">
        <is>
          <t>MT_R13_CTA. AHORRO G.DIF_CORE</t>
        </is>
      </c>
      <c r="K256" t="n">
        <v>67</v>
      </c>
      <c r="M256" s="71" t="n">
        <v>47938</v>
      </c>
      <c r="N256" s="71" t="n">
        <v>47938</v>
      </c>
      <c r="O256" s="71" t="n">
        <v>47938</v>
      </c>
      <c r="P256" t="n">
        <v>15350.79381024514</v>
      </c>
      <c r="V256" t="n">
        <v>1</v>
      </c>
      <c r="W256" t="inlineStr">
        <is>
          <t>BALANCE TASAS</t>
        </is>
      </c>
      <c r="Y256" t="inlineStr">
        <is>
          <t>BALANCE TASAS</t>
        </is>
      </c>
      <c r="Z256" t="inlineStr">
        <is>
          <t>HTM</t>
        </is>
      </c>
      <c r="AA256" t="n">
        <v>1</v>
      </c>
    </row>
    <row r="257">
      <c r="A257" s="71" t="n">
        <v>45923</v>
      </c>
      <c r="B257" t="n">
        <v>1</v>
      </c>
      <c r="D257" t="inlineStr">
        <is>
          <t>PAS</t>
        </is>
      </c>
      <c r="E257" t="inlineStr">
        <is>
          <t>CLF</t>
        </is>
      </c>
      <c r="F257" t="inlineStr">
        <is>
          <t>CLF</t>
        </is>
      </c>
      <c r="H257" t="inlineStr">
        <is>
          <t>MT_R13_CTA. AHORRO</t>
        </is>
      </c>
      <c r="I257" t="inlineStr">
        <is>
          <t>MT_R13_CTA. AHORRO G.DIF_CORE</t>
        </is>
      </c>
      <c r="K257" t="n">
        <v>68</v>
      </c>
      <c r="M257" s="71" t="n">
        <v>47968</v>
      </c>
      <c r="N257" s="71" t="n">
        <v>47968</v>
      </c>
      <c r="O257" s="71" t="n">
        <v>47968</v>
      </c>
      <c r="P257" t="n">
        <v>15216.13772419036</v>
      </c>
      <c r="V257" t="n">
        <v>1</v>
      </c>
      <c r="W257" t="inlineStr">
        <is>
          <t>BALANCE TASAS</t>
        </is>
      </c>
      <c r="Y257" t="inlineStr">
        <is>
          <t>BALANCE TASAS</t>
        </is>
      </c>
      <c r="Z257" t="inlineStr">
        <is>
          <t>HTM</t>
        </is>
      </c>
      <c r="AA257" t="n">
        <v>1</v>
      </c>
    </row>
    <row r="258">
      <c r="A258" s="71" t="n">
        <v>45923</v>
      </c>
      <c r="B258" t="n">
        <v>1</v>
      </c>
      <c r="D258" t="inlineStr">
        <is>
          <t>PAS</t>
        </is>
      </c>
      <c r="E258" t="inlineStr">
        <is>
          <t>CLF</t>
        </is>
      </c>
      <c r="F258" t="inlineStr">
        <is>
          <t>CLF</t>
        </is>
      </c>
      <c r="H258" t="inlineStr">
        <is>
          <t>MT_R13_CTA. AHORRO</t>
        </is>
      </c>
      <c r="I258" t="inlineStr">
        <is>
          <t>MT_R13_CTA. AHORRO G.DIF_CORE</t>
        </is>
      </c>
      <c r="K258" t="n">
        <v>69</v>
      </c>
      <c r="M258" s="71" t="n">
        <v>47999</v>
      </c>
      <c r="N258" s="71" t="n">
        <v>47999</v>
      </c>
      <c r="O258" s="71" t="n">
        <v>47999</v>
      </c>
      <c r="P258" t="n">
        <v>15081.48163813558</v>
      </c>
      <c r="V258" t="n">
        <v>1</v>
      </c>
      <c r="W258" t="inlineStr">
        <is>
          <t>BALANCE TASAS</t>
        </is>
      </c>
      <c r="Y258" t="inlineStr">
        <is>
          <t>BALANCE TASAS</t>
        </is>
      </c>
      <c r="Z258" t="inlineStr">
        <is>
          <t>HTM</t>
        </is>
      </c>
      <c r="AA258" t="n">
        <v>1</v>
      </c>
    </row>
    <row r="259">
      <c r="A259" s="71" t="n">
        <v>45923</v>
      </c>
      <c r="B259" t="n">
        <v>1</v>
      </c>
      <c r="D259" t="inlineStr">
        <is>
          <t>PAS</t>
        </is>
      </c>
      <c r="E259" t="inlineStr">
        <is>
          <t>CLF</t>
        </is>
      </c>
      <c r="F259" t="inlineStr">
        <is>
          <t>CLF</t>
        </is>
      </c>
      <c r="H259" t="inlineStr">
        <is>
          <t>MT_R13_CTA. AHORRO</t>
        </is>
      </c>
      <c r="I259" t="inlineStr">
        <is>
          <t>MT_R13_CTA. AHORRO G.DIF_CORE</t>
        </is>
      </c>
      <c r="K259" t="n">
        <v>70</v>
      </c>
      <c r="M259" s="71" t="n">
        <v>48029</v>
      </c>
      <c r="N259" s="71" t="n">
        <v>48029</v>
      </c>
      <c r="O259" s="71" t="n">
        <v>48029</v>
      </c>
      <c r="P259" t="n">
        <v>1706289.897137841</v>
      </c>
      <c r="V259" t="n">
        <v>1</v>
      </c>
      <c r="W259" t="inlineStr">
        <is>
          <t>BALANCE TASAS</t>
        </is>
      </c>
      <c r="Y259" t="inlineStr">
        <is>
          <t>BALANCE TASAS</t>
        </is>
      </c>
      <c r="Z259" t="inlineStr">
        <is>
          <t>HTM</t>
        </is>
      </c>
      <c r="AA259" t="n">
        <v>1</v>
      </c>
    </row>
    <row r="260">
      <c r="A260" s="71" t="n">
        <v>45923</v>
      </c>
      <c r="B260" t="n">
        <v>1</v>
      </c>
      <c r="D260" t="inlineStr">
        <is>
          <t>PAS</t>
        </is>
      </c>
      <c r="E260" t="inlineStr">
        <is>
          <t>CLF</t>
        </is>
      </c>
      <c r="F260" t="inlineStr">
        <is>
          <t>CLF</t>
        </is>
      </c>
      <c r="H260" t="inlineStr">
        <is>
          <t>MT_R13_CTA. AHORRO G.DIF_CORE</t>
        </is>
      </c>
      <c r="I260" t="inlineStr">
        <is>
          <t>MT_R13_CTA. AHORRO G.DIF_CORE</t>
        </is>
      </c>
      <c r="M260" s="71" t="n">
        <v>45924</v>
      </c>
      <c r="N260" s="71" t="n">
        <v>45924</v>
      </c>
      <c r="O260" s="71" t="n">
        <v>45924</v>
      </c>
      <c r="P260" t="n">
        <v>3131536.884994929</v>
      </c>
      <c r="V260" t="n">
        <v>1</v>
      </c>
      <c r="W260" t="inlineStr">
        <is>
          <t>BALANCE TASAS</t>
        </is>
      </c>
      <c r="Y260" t="inlineStr">
        <is>
          <t>BALANCE TASAS</t>
        </is>
      </c>
      <c r="Z260" t="inlineStr">
        <is>
          <t>HTM</t>
        </is>
      </c>
      <c r="AA260" t="n">
        <v>1</v>
      </c>
    </row>
    <row r="261">
      <c r="A261" s="71" t="n">
        <v>45923</v>
      </c>
      <c r="B261" t="n">
        <v>1</v>
      </c>
      <c r="D261" t="inlineStr">
        <is>
          <t>PAS</t>
        </is>
      </c>
      <c r="E261" t="inlineStr">
        <is>
          <t>CLF</t>
        </is>
      </c>
      <c r="F261" t="inlineStr">
        <is>
          <t>CLF</t>
        </is>
      </c>
      <c r="H261" t="inlineStr">
        <is>
          <t>MT_R13_CTA. AHORRO</t>
        </is>
      </c>
      <c r="I261" t="inlineStr">
        <is>
          <t>MT_R13_CTA. AHORRO G.DIF_NONCORE</t>
        </is>
      </c>
      <c r="M261" s="71" t="n">
        <v>45924</v>
      </c>
      <c r="N261" s="71" t="n">
        <v>45924</v>
      </c>
      <c r="O261" s="71" t="n">
        <v>45924</v>
      </c>
      <c r="P261" t="n">
        <v>1342087.236426398</v>
      </c>
      <c r="V261" t="n">
        <v>1</v>
      </c>
      <c r="W261" t="inlineStr">
        <is>
          <t>BALANCE TASAS</t>
        </is>
      </c>
      <c r="Y261" t="inlineStr">
        <is>
          <t>BALANCE TASAS</t>
        </is>
      </c>
      <c r="Z261" t="inlineStr">
        <is>
          <t>HTM</t>
        </is>
      </c>
      <c r="AA261" t="n">
        <v>1</v>
      </c>
    </row>
    <row r="262">
      <c r="A262" s="71" t="n">
        <v>45923</v>
      </c>
      <c r="B262" t="n">
        <v>1</v>
      </c>
      <c r="D262" t="inlineStr">
        <is>
          <t>PAS</t>
        </is>
      </c>
      <c r="E262" t="inlineStr">
        <is>
          <t>CLF</t>
        </is>
      </c>
      <c r="F262" t="inlineStr">
        <is>
          <t>CLF</t>
        </is>
      </c>
      <c r="H262" t="inlineStr">
        <is>
          <t>MT_R13_CTA. AHORRO G.DIF_NONCORE</t>
        </is>
      </c>
      <c r="I262" t="inlineStr">
        <is>
          <t>MT_R13_CTA. AHORRO G.DIF_NONCORE</t>
        </is>
      </c>
      <c r="M262" s="71" t="n">
        <v>45924</v>
      </c>
      <c r="N262" s="71" t="n">
        <v>45924</v>
      </c>
      <c r="O262" s="71" t="n">
        <v>45924</v>
      </c>
      <c r="P262" t="n">
        <v>1342087.236426398</v>
      </c>
      <c r="V262" t="n">
        <v>1</v>
      </c>
      <c r="W262" t="inlineStr">
        <is>
          <t>BALANCE TASAS</t>
        </is>
      </c>
      <c r="Y262" t="inlineStr">
        <is>
          <t>BALANCE TASAS</t>
        </is>
      </c>
      <c r="Z262" t="inlineStr">
        <is>
          <t>HTM</t>
        </is>
      </c>
      <c r="AA262" t="n">
        <v>1</v>
      </c>
    </row>
    <row r="263">
      <c r="A263" s="71" t="n">
        <v>45923</v>
      </c>
      <c r="B263" t="n">
        <v>1</v>
      </c>
      <c r="D263" t="inlineStr">
        <is>
          <t>PAS</t>
        </is>
      </c>
      <c r="E263" t="inlineStr">
        <is>
          <t>CLF</t>
        </is>
      </c>
      <c r="F263" t="inlineStr">
        <is>
          <t>CLF</t>
        </is>
      </c>
      <c r="H263" t="inlineStr">
        <is>
          <t>MT_R13_CTA. AHORRO</t>
        </is>
      </c>
      <c r="I263" t="inlineStr">
        <is>
          <t>MT_R13_CTA. AHORRO G.INC_CORE</t>
        </is>
      </c>
      <c r="K263" t="n">
        <v>1</v>
      </c>
      <c r="M263" s="71" t="n">
        <v>45930</v>
      </c>
      <c r="N263" s="71" t="n">
        <v>45930</v>
      </c>
      <c r="O263" s="71" t="n">
        <v>45930</v>
      </c>
      <c r="P263" t="n">
        <v>6812.106127405171</v>
      </c>
      <c r="V263" t="n">
        <v>1</v>
      </c>
      <c r="W263" t="inlineStr">
        <is>
          <t>BALANCE TASAS</t>
        </is>
      </c>
      <c r="Y263" t="inlineStr">
        <is>
          <t>BALANCE TASAS</t>
        </is>
      </c>
      <c r="Z263" t="inlineStr">
        <is>
          <t>HTM</t>
        </is>
      </c>
      <c r="AA263" t="n">
        <v>1</v>
      </c>
    </row>
    <row r="264">
      <c r="A264" s="71" t="n">
        <v>45923</v>
      </c>
      <c r="B264" t="n">
        <v>1</v>
      </c>
      <c r="D264" t="inlineStr">
        <is>
          <t>PAS</t>
        </is>
      </c>
      <c r="E264" t="inlineStr">
        <is>
          <t>CLF</t>
        </is>
      </c>
      <c r="F264" t="inlineStr">
        <is>
          <t>CLF</t>
        </is>
      </c>
      <c r="H264" t="inlineStr">
        <is>
          <t>MT_R13_CTA. AHORRO</t>
        </is>
      </c>
      <c r="I264" t="inlineStr">
        <is>
          <t>MT_R13_CTA. AHORRO G.INC_CORE</t>
        </is>
      </c>
      <c r="K264" t="n">
        <v>2</v>
      </c>
      <c r="M264" s="71" t="n">
        <v>45961</v>
      </c>
      <c r="N264" s="71" t="n">
        <v>45961</v>
      </c>
      <c r="O264" s="71" t="n">
        <v>45961</v>
      </c>
      <c r="P264" t="n">
        <v>6751.372983960298</v>
      </c>
      <c r="V264" t="n">
        <v>1</v>
      </c>
      <c r="W264" t="inlineStr">
        <is>
          <t>BALANCE TASAS</t>
        </is>
      </c>
      <c r="Y264" t="inlineStr">
        <is>
          <t>BALANCE TASAS</t>
        </is>
      </c>
      <c r="Z264" t="inlineStr">
        <is>
          <t>HTM</t>
        </is>
      </c>
      <c r="AA264" t="n">
        <v>1</v>
      </c>
    </row>
    <row r="265">
      <c r="A265" s="71" t="n">
        <v>45923</v>
      </c>
      <c r="B265" t="n">
        <v>1</v>
      </c>
      <c r="D265" t="inlineStr">
        <is>
          <t>PAS</t>
        </is>
      </c>
      <c r="E265" t="inlineStr">
        <is>
          <t>CLF</t>
        </is>
      </c>
      <c r="F265" t="inlineStr">
        <is>
          <t>CLF</t>
        </is>
      </c>
      <c r="H265" t="inlineStr">
        <is>
          <t>MT_R13_CTA. AHORRO</t>
        </is>
      </c>
      <c r="I265" t="inlineStr">
        <is>
          <t>MT_R13_CTA. AHORRO G.INC_CORE</t>
        </is>
      </c>
      <c r="K265" t="n">
        <v>3</v>
      </c>
      <c r="M265" s="71" t="n">
        <v>45991</v>
      </c>
      <c r="N265" s="71" t="n">
        <v>45991</v>
      </c>
      <c r="O265" s="71" t="n">
        <v>45991</v>
      </c>
      <c r="P265" t="n">
        <v>6691.408614483084</v>
      </c>
      <c r="V265" t="n">
        <v>1</v>
      </c>
      <c r="W265" t="inlineStr">
        <is>
          <t>BALANCE TASAS</t>
        </is>
      </c>
      <c r="Y265" t="inlineStr">
        <is>
          <t>BALANCE TASAS</t>
        </is>
      </c>
      <c r="Z265" t="inlineStr">
        <is>
          <t>HTM</t>
        </is>
      </c>
      <c r="AA265" t="n">
        <v>1</v>
      </c>
    </row>
    <row r="266">
      <c r="A266" s="71" t="n">
        <v>45923</v>
      </c>
      <c r="B266" t="n">
        <v>1</v>
      </c>
      <c r="D266" t="inlineStr">
        <is>
          <t>PAS</t>
        </is>
      </c>
      <c r="E266" t="inlineStr">
        <is>
          <t>CLF</t>
        </is>
      </c>
      <c r="F266" t="inlineStr">
        <is>
          <t>CLF</t>
        </is>
      </c>
      <c r="H266" t="inlineStr">
        <is>
          <t>MT_R13_CTA. AHORRO</t>
        </is>
      </c>
      <c r="I266" t="inlineStr">
        <is>
          <t>MT_R13_CTA. AHORRO G.INC_CORE</t>
        </is>
      </c>
      <c r="K266" t="n">
        <v>4</v>
      </c>
      <c r="M266" s="71" t="n">
        <v>46022</v>
      </c>
      <c r="N266" s="71" t="n">
        <v>46022</v>
      </c>
      <c r="O266" s="71" t="n">
        <v>46022</v>
      </c>
      <c r="P266" t="n">
        <v>6632.213018973524</v>
      </c>
      <c r="V266" t="n">
        <v>1</v>
      </c>
      <c r="W266" t="inlineStr">
        <is>
          <t>BALANCE TASAS</t>
        </is>
      </c>
      <c r="Y266" t="inlineStr">
        <is>
          <t>BALANCE TASAS</t>
        </is>
      </c>
      <c r="Z266" t="inlineStr">
        <is>
          <t>HTM</t>
        </is>
      </c>
      <c r="AA266" t="n">
        <v>1</v>
      </c>
    </row>
    <row r="267">
      <c r="A267" s="71" t="n">
        <v>45923</v>
      </c>
      <c r="B267" t="n">
        <v>1</v>
      </c>
      <c r="D267" t="inlineStr">
        <is>
          <t>PAS</t>
        </is>
      </c>
      <c r="E267" t="inlineStr">
        <is>
          <t>CLF</t>
        </is>
      </c>
      <c r="F267" t="inlineStr">
        <is>
          <t>CLF</t>
        </is>
      </c>
      <c r="H267" t="inlineStr">
        <is>
          <t>MT_R13_CTA. AHORRO</t>
        </is>
      </c>
      <c r="I267" t="inlineStr">
        <is>
          <t>MT_R13_CTA. AHORRO G.INC_CORE</t>
        </is>
      </c>
      <c r="K267" t="n">
        <v>5</v>
      </c>
      <c r="M267" s="71" t="n">
        <v>46053</v>
      </c>
      <c r="N267" s="71" t="n">
        <v>46053</v>
      </c>
      <c r="O267" s="71" t="n">
        <v>46053</v>
      </c>
      <c r="P267" t="n">
        <v>6573.786197431623</v>
      </c>
      <c r="V267" t="n">
        <v>1</v>
      </c>
      <c r="W267" t="inlineStr">
        <is>
          <t>BALANCE TASAS</t>
        </is>
      </c>
      <c r="Y267" t="inlineStr">
        <is>
          <t>BALANCE TASAS</t>
        </is>
      </c>
      <c r="Z267" t="inlineStr">
        <is>
          <t>HTM</t>
        </is>
      </c>
      <c r="AA267" t="n">
        <v>1</v>
      </c>
    </row>
    <row r="268">
      <c r="A268" s="71" t="n">
        <v>45923</v>
      </c>
      <c r="B268" t="n">
        <v>1</v>
      </c>
      <c r="D268" t="inlineStr">
        <is>
          <t>PAS</t>
        </is>
      </c>
      <c r="E268" t="inlineStr">
        <is>
          <t>CLF</t>
        </is>
      </c>
      <c r="F268" t="inlineStr">
        <is>
          <t>CLF</t>
        </is>
      </c>
      <c r="H268" t="inlineStr">
        <is>
          <t>MT_R13_CTA. AHORRO</t>
        </is>
      </c>
      <c r="I268" t="inlineStr">
        <is>
          <t>MT_R13_CTA. AHORRO G.INC_CORE</t>
        </is>
      </c>
      <c r="K268" t="n">
        <v>6</v>
      </c>
      <c r="M268" s="71" t="n">
        <v>46081</v>
      </c>
      <c r="N268" s="71" t="n">
        <v>46081</v>
      </c>
      <c r="O268" s="71" t="n">
        <v>46081</v>
      </c>
      <c r="P268" t="n">
        <v>6515.35937588972</v>
      </c>
      <c r="V268" t="n">
        <v>1</v>
      </c>
      <c r="W268" t="inlineStr">
        <is>
          <t>BALANCE TASAS</t>
        </is>
      </c>
      <c r="Y268" t="inlineStr">
        <is>
          <t>BALANCE TASAS</t>
        </is>
      </c>
      <c r="Z268" t="inlineStr">
        <is>
          <t>HTM</t>
        </is>
      </c>
      <c r="AA268" t="n">
        <v>1</v>
      </c>
    </row>
    <row r="269">
      <c r="A269" s="71" t="n">
        <v>45923</v>
      </c>
      <c r="B269" t="n">
        <v>1</v>
      </c>
      <c r="D269" t="inlineStr">
        <is>
          <t>PAS</t>
        </is>
      </c>
      <c r="E269" t="inlineStr">
        <is>
          <t>CLF</t>
        </is>
      </c>
      <c r="F269" t="inlineStr">
        <is>
          <t>CLF</t>
        </is>
      </c>
      <c r="H269" t="inlineStr">
        <is>
          <t>MT_R13_CTA. AHORRO</t>
        </is>
      </c>
      <c r="I269" t="inlineStr">
        <is>
          <t>MT_R13_CTA. AHORRO G.INC_CORE</t>
        </is>
      </c>
      <c r="K269" t="n">
        <v>7</v>
      </c>
      <c r="M269" s="71" t="n">
        <v>46112</v>
      </c>
      <c r="N269" s="71" t="n">
        <v>46112</v>
      </c>
      <c r="O269" s="71" t="n">
        <v>46112</v>
      </c>
      <c r="P269" t="n">
        <v>6457.701328315476</v>
      </c>
      <c r="V269" t="n">
        <v>1</v>
      </c>
      <c r="W269" t="inlineStr">
        <is>
          <t>BALANCE TASAS</t>
        </is>
      </c>
      <c r="Y269" t="inlineStr">
        <is>
          <t>BALANCE TASAS</t>
        </is>
      </c>
      <c r="Z269" t="inlineStr">
        <is>
          <t>HTM</t>
        </is>
      </c>
      <c r="AA269" t="n">
        <v>1</v>
      </c>
    </row>
    <row r="270">
      <c r="A270" s="71" t="n">
        <v>45923</v>
      </c>
      <c r="B270" t="n">
        <v>1</v>
      </c>
      <c r="D270" t="inlineStr">
        <is>
          <t>PAS</t>
        </is>
      </c>
      <c r="E270" t="inlineStr">
        <is>
          <t>CLF</t>
        </is>
      </c>
      <c r="F270" t="inlineStr">
        <is>
          <t>CLF</t>
        </is>
      </c>
      <c r="H270" t="inlineStr">
        <is>
          <t>MT_R13_CTA. AHORRO</t>
        </is>
      </c>
      <c r="I270" t="inlineStr">
        <is>
          <t>MT_R13_CTA. AHORRO G.INC_CORE</t>
        </is>
      </c>
      <c r="K270" t="n">
        <v>8</v>
      </c>
      <c r="M270" s="71" t="n">
        <v>46142</v>
      </c>
      <c r="N270" s="71" t="n">
        <v>46142</v>
      </c>
      <c r="O270" s="71" t="n">
        <v>46142</v>
      </c>
      <c r="P270" t="n">
        <v>6400.043280741231</v>
      </c>
      <c r="V270" t="n">
        <v>1</v>
      </c>
      <c r="W270" t="inlineStr">
        <is>
          <t>BALANCE TASAS</t>
        </is>
      </c>
      <c r="Y270" t="inlineStr">
        <is>
          <t>BALANCE TASAS</t>
        </is>
      </c>
      <c r="Z270" t="inlineStr">
        <is>
          <t>HTM</t>
        </is>
      </c>
      <c r="AA270" t="n">
        <v>1</v>
      </c>
    </row>
    <row r="271">
      <c r="A271" s="71" t="n">
        <v>45923</v>
      </c>
      <c r="B271" t="n">
        <v>1</v>
      </c>
      <c r="D271" t="inlineStr">
        <is>
          <t>PAS</t>
        </is>
      </c>
      <c r="E271" t="inlineStr">
        <is>
          <t>CLF</t>
        </is>
      </c>
      <c r="F271" t="inlineStr">
        <is>
          <t>CLF</t>
        </is>
      </c>
      <c r="H271" t="inlineStr">
        <is>
          <t>MT_R13_CTA. AHORRO</t>
        </is>
      </c>
      <c r="I271" t="inlineStr">
        <is>
          <t>MT_R13_CTA. AHORRO G.INC_CORE</t>
        </is>
      </c>
      <c r="K271" t="n">
        <v>9</v>
      </c>
      <c r="M271" s="71" t="n">
        <v>46173</v>
      </c>
      <c r="N271" s="71" t="n">
        <v>46173</v>
      </c>
      <c r="O271" s="71" t="n">
        <v>46173</v>
      </c>
      <c r="P271" t="n">
        <v>6343.922781102298</v>
      </c>
      <c r="V271" t="n">
        <v>1</v>
      </c>
      <c r="W271" t="inlineStr">
        <is>
          <t>BALANCE TASAS</t>
        </is>
      </c>
      <c r="Y271" t="inlineStr">
        <is>
          <t>BALANCE TASAS</t>
        </is>
      </c>
      <c r="Z271" t="inlineStr">
        <is>
          <t>HTM</t>
        </is>
      </c>
      <c r="AA271" t="n">
        <v>1</v>
      </c>
    </row>
    <row r="272">
      <c r="A272" s="71" t="n">
        <v>45923</v>
      </c>
      <c r="B272" t="n">
        <v>1</v>
      </c>
      <c r="D272" t="inlineStr">
        <is>
          <t>PAS</t>
        </is>
      </c>
      <c r="E272" t="inlineStr">
        <is>
          <t>CLF</t>
        </is>
      </c>
      <c r="F272" t="inlineStr">
        <is>
          <t>CLF</t>
        </is>
      </c>
      <c r="H272" t="inlineStr">
        <is>
          <t>MT_R13_CTA. AHORRO</t>
        </is>
      </c>
      <c r="I272" t="inlineStr">
        <is>
          <t>MT_R13_CTA. AHORRO G.INC_CORE</t>
        </is>
      </c>
      <c r="K272" t="n">
        <v>10</v>
      </c>
      <c r="M272" s="71" t="n">
        <v>46203</v>
      </c>
      <c r="N272" s="71" t="n">
        <v>46203</v>
      </c>
      <c r="O272" s="71" t="n">
        <v>46203</v>
      </c>
      <c r="P272" t="n">
        <v>6287.033507495709</v>
      </c>
      <c r="V272" t="n">
        <v>1</v>
      </c>
      <c r="W272" t="inlineStr">
        <is>
          <t>BALANCE TASAS</t>
        </is>
      </c>
      <c r="Y272" t="inlineStr">
        <is>
          <t>BALANCE TASAS</t>
        </is>
      </c>
      <c r="Z272" t="inlineStr">
        <is>
          <t>HTM</t>
        </is>
      </c>
      <c r="AA272" t="n">
        <v>1</v>
      </c>
    </row>
    <row r="273">
      <c r="A273" s="71" t="n">
        <v>45923</v>
      </c>
      <c r="B273" t="n">
        <v>1</v>
      </c>
      <c r="D273" t="inlineStr">
        <is>
          <t>PAS</t>
        </is>
      </c>
      <c r="E273" t="inlineStr">
        <is>
          <t>CLF</t>
        </is>
      </c>
      <c r="F273" t="inlineStr">
        <is>
          <t>CLF</t>
        </is>
      </c>
      <c r="H273" t="inlineStr">
        <is>
          <t>MT_R13_CTA. AHORRO</t>
        </is>
      </c>
      <c r="I273" t="inlineStr">
        <is>
          <t>MT_R13_CTA. AHORRO G.INC_CORE</t>
        </is>
      </c>
      <c r="K273" t="n">
        <v>11</v>
      </c>
      <c r="M273" s="71" t="n">
        <v>46234</v>
      </c>
      <c r="N273" s="71" t="n">
        <v>46234</v>
      </c>
      <c r="O273" s="71" t="n">
        <v>46234</v>
      </c>
      <c r="P273" t="n">
        <v>6231.681781824434</v>
      </c>
      <c r="V273" t="n">
        <v>1</v>
      </c>
      <c r="W273" t="inlineStr">
        <is>
          <t>BALANCE TASAS</t>
        </is>
      </c>
      <c r="Y273" t="inlineStr">
        <is>
          <t>BALANCE TASAS</t>
        </is>
      </c>
      <c r="Z273" t="inlineStr">
        <is>
          <t>HTM</t>
        </is>
      </c>
      <c r="AA273" t="n">
        <v>1</v>
      </c>
    </row>
    <row r="274">
      <c r="A274" s="71" t="n">
        <v>45923</v>
      </c>
      <c r="B274" t="n">
        <v>1</v>
      </c>
      <c r="D274" t="inlineStr">
        <is>
          <t>PAS</t>
        </is>
      </c>
      <c r="E274" t="inlineStr">
        <is>
          <t>CLF</t>
        </is>
      </c>
      <c r="F274" t="inlineStr">
        <is>
          <t>CLF</t>
        </is>
      </c>
      <c r="H274" t="inlineStr">
        <is>
          <t>MT_R13_CTA. AHORRO</t>
        </is>
      </c>
      <c r="I274" t="inlineStr">
        <is>
          <t>MT_R13_CTA. AHORRO G.INC_CORE</t>
        </is>
      </c>
      <c r="K274" t="n">
        <v>12</v>
      </c>
      <c r="M274" s="71" t="n">
        <v>46265</v>
      </c>
      <c r="N274" s="71" t="n">
        <v>46265</v>
      </c>
      <c r="O274" s="71" t="n">
        <v>46265</v>
      </c>
      <c r="P274" t="n">
        <v>6176.330056153158</v>
      </c>
      <c r="V274" t="n">
        <v>1</v>
      </c>
      <c r="W274" t="inlineStr">
        <is>
          <t>BALANCE TASAS</t>
        </is>
      </c>
      <c r="Y274" t="inlineStr">
        <is>
          <t>BALANCE TASAS</t>
        </is>
      </c>
      <c r="Z274" t="inlineStr">
        <is>
          <t>HTM</t>
        </is>
      </c>
      <c r="AA274" t="n">
        <v>1</v>
      </c>
    </row>
    <row r="275">
      <c r="A275" s="71" t="n">
        <v>45923</v>
      </c>
      <c r="B275" t="n">
        <v>1</v>
      </c>
      <c r="D275" t="inlineStr">
        <is>
          <t>PAS</t>
        </is>
      </c>
      <c r="E275" t="inlineStr">
        <is>
          <t>CLF</t>
        </is>
      </c>
      <c r="F275" t="inlineStr">
        <is>
          <t>CLF</t>
        </is>
      </c>
      <c r="H275" t="inlineStr">
        <is>
          <t>MT_R13_CTA. AHORRO</t>
        </is>
      </c>
      <c r="I275" t="inlineStr">
        <is>
          <t>MT_R13_CTA. AHORRO G.INC_CORE</t>
        </is>
      </c>
      <c r="K275" t="n">
        <v>13</v>
      </c>
      <c r="M275" s="71" t="n">
        <v>46295</v>
      </c>
      <c r="N275" s="71" t="n">
        <v>46295</v>
      </c>
      <c r="O275" s="71" t="n">
        <v>46295</v>
      </c>
      <c r="P275" t="n">
        <v>6121.74710444954</v>
      </c>
      <c r="V275" t="n">
        <v>1</v>
      </c>
      <c r="W275" t="inlineStr">
        <is>
          <t>BALANCE TASAS</t>
        </is>
      </c>
      <c r="Y275" t="inlineStr">
        <is>
          <t>BALANCE TASAS</t>
        </is>
      </c>
      <c r="Z275" t="inlineStr">
        <is>
          <t>HTM</t>
        </is>
      </c>
      <c r="AA275" t="n">
        <v>1</v>
      </c>
    </row>
    <row r="276">
      <c r="A276" s="71" t="n">
        <v>45923</v>
      </c>
      <c r="B276" t="n">
        <v>1</v>
      </c>
      <c r="D276" t="inlineStr">
        <is>
          <t>PAS</t>
        </is>
      </c>
      <c r="E276" t="inlineStr">
        <is>
          <t>CLF</t>
        </is>
      </c>
      <c r="F276" t="inlineStr">
        <is>
          <t>CLF</t>
        </is>
      </c>
      <c r="H276" t="inlineStr">
        <is>
          <t>MT_R13_CTA. AHORRO</t>
        </is>
      </c>
      <c r="I276" t="inlineStr">
        <is>
          <t>MT_R13_CTA. AHORRO G.INC_CORE</t>
        </is>
      </c>
      <c r="K276" t="n">
        <v>14</v>
      </c>
      <c r="M276" s="71" t="n">
        <v>46326</v>
      </c>
      <c r="N276" s="71" t="n">
        <v>46326</v>
      </c>
      <c r="O276" s="71" t="n">
        <v>46326</v>
      </c>
      <c r="P276" t="n">
        <v>6067.164152745921</v>
      </c>
      <c r="V276" t="n">
        <v>1</v>
      </c>
      <c r="W276" t="inlineStr">
        <is>
          <t>BALANCE TASAS</t>
        </is>
      </c>
      <c r="Y276" t="inlineStr">
        <is>
          <t>BALANCE TASAS</t>
        </is>
      </c>
      <c r="Z276" t="inlineStr">
        <is>
          <t>HTM</t>
        </is>
      </c>
      <c r="AA276" t="n">
        <v>1</v>
      </c>
    </row>
    <row r="277">
      <c r="A277" s="71" t="n">
        <v>45923</v>
      </c>
      <c r="B277" t="n">
        <v>1</v>
      </c>
      <c r="D277" t="inlineStr">
        <is>
          <t>PAS</t>
        </is>
      </c>
      <c r="E277" t="inlineStr">
        <is>
          <t>CLF</t>
        </is>
      </c>
      <c r="F277" t="inlineStr">
        <is>
          <t>CLF</t>
        </is>
      </c>
      <c r="H277" t="inlineStr">
        <is>
          <t>MT_R13_CTA. AHORRO</t>
        </is>
      </c>
      <c r="I277" t="inlineStr">
        <is>
          <t>MT_R13_CTA. AHORRO G.INC_CORE</t>
        </is>
      </c>
      <c r="K277" t="n">
        <v>15</v>
      </c>
      <c r="M277" s="71" t="n">
        <v>46356</v>
      </c>
      <c r="N277" s="71" t="n">
        <v>46356</v>
      </c>
      <c r="O277" s="71" t="n">
        <v>46356</v>
      </c>
      <c r="P277" t="n">
        <v>6014.118748977615</v>
      </c>
      <c r="V277" t="n">
        <v>1</v>
      </c>
      <c r="W277" t="inlineStr">
        <is>
          <t>BALANCE TASAS</t>
        </is>
      </c>
      <c r="Y277" t="inlineStr">
        <is>
          <t>BALANCE TASAS</t>
        </is>
      </c>
      <c r="Z277" t="inlineStr">
        <is>
          <t>HTM</t>
        </is>
      </c>
      <c r="AA277" t="n">
        <v>1</v>
      </c>
    </row>
    <row r="278">
      <c r="A278" s="71" t="n">
        <v>45923</v>
      </c>
      <c r="B278" t="n">
        <v>1</v>
      </c>
      <c r="D278" t="inlineStr">
        <is>
          <t>PAS</t>
        </is>
      </c>
      <c r="E278" t="inlineStr">
        <is>
          <t>CLF</t>
        </is>
      </c>
      <c r="F278" t="inlineStr">
        <is>
          <t>CLF</t>
        </is>
      </c>
      <c r="H278" t="inlineStr">
        <is>
          <t>MT_R13_CTA. AHORRO</t>
        </is>
      </c>
      <c r="I278" t="inlineStr">
        <is>
          <t>MT_R13_CTA. AHORRO G.INC_CORE</t>
        </is>
      </c>
      <c r="K278" t="n">
        <v>16</v>
      </c>
      <c r="M278" s="71" t="n">
        <v>46387</v>
      </c>
      <c r="N278" s="71" t="n">
        <v>46387</v>
      </c>
      <c r="O278" s="71" t="n">
        <v>46387</v>
      </c>
      <c r="P278" t="n">
        <v>5960.304571241653</v>
      </c>
      <c r="V278" t="n">
        <v>1</v>
      </c>
      <c r="W278" t="inlineStr">
        <is>
          <t>BALANCE TASAS</t>
        </is>
      </c>
      <c r="Y278" t="inlineStr">
        <is>
          <t>BALANCE TASAS</t>
        </is>
      </c>
      <c r="Z278" t="inlineStr">
        <is>
          <t>HTM</t>
        </is>
      </c>
      <c r="AA278" t="n">
        <v>1</v>
      </c>
    </row>
    <row r="279">
      <c r="A279" s="71" t="n">
        <v>45923</v>
      </c>
      <c r="B279" t="n">
        <v>1</v>
      </c>
      <c r="D279" t="inlineStr">
        <is>
          <t>PAS</t>
        </is>
      </c>
      <c r="E279" t="inlineStr">
        <is>
          <t>CLF</t>
        </is>
      </c>
      <c r="F279" t="inlineStr">
        <is>
          <t>CLF</t>
        </is>
      </c>
      <c r="H279" t="inlineStr">
        <is>
          <t>MT_R13_CTA. AHORRO</t>
        </is>
      </c>
      <c r="I279" t="inlineStr">
        <is>
          <t>MT_R13_CTA. AHORRO G.INC_CORE</t>
        </is>
      </c>
      <c r="K279" t="n">
        <v>17</v>
      </c>
      <c r="M279" s="71" t="n">
        <v>46418</v>
      </c>
      <c r="N279" s="71" t="n">
        <v>46418</v>
      </c>
      <c r="O279" s="71" t="n">
        <v>46418</v>
      </c>
      <c r="P279" t="n">
        <v>5907.259167473347</v>
      </c>
      <c r="V279" t="n">
        <v>1</v>
      </c>
      <c r="W279" t="inlineStr">
        <is>
          <t>BALANCE TASAS</t>
        </is>
      </c>
      <c r="Y279" t="inlineStr">
        <is>
          <t>BALANCE TASAS</t>
        </is>
      </c>
      <c r="Z279" t="inlineStr">
        <is>
          <t>HTM</t>
        </is>
      </c>
      <c r="AA279" t="n">
        <v>1</v>
      </c>
    </row>
    <row r="280">
      <c r="A280" s="71" t="n">
        <v>45923</v>
      </c>
      <c r="B280" t="n">
        <v>1</v>
      </c>
      <c r="D280" t="inlineStr">
        <is>
          <t>PAS</t>
        </is>
      </c>
      <c r="E280" t="inlineStr">
        <is>
          <t>CLF</t>
        </is>
      </c>
      <c r="F280" t="inlineStr">
        <is>
          <t>CLF</t>
        </is>
      </c>
      <c r="H280" t="inlineStr">
        <is>
          <t>MT_R13_CTA. AHORRO</t>
        </is>
      </c>
      <c r="I280" t="inlineStr">
        <is>
          <t>MT_R13_CTA. AHORRO G.INC_CORE</t>
        </is>
      </c>
      <c r="K280" t="n">
        <v>18</v>
      </c>
      <c r="M280" s="71" t="n">
        <v>46446</v>
      </c>
      <c r="N280" s="71" t="n">
        <v>46446</v>
      </c>
      <c r="O280" s="71" t="n">
        <v>46446</v>
      </c>
      <c r="P280" t="n">
        <v>5854.982537672699</v>
      </c>
      <c r="V280" t="n">
        <v>1</v>
      </c>
      <c r="W280" t="inlineStr">
        <is>
          <t>BALANCE TASAS</t>
        </is>
      </c>
      <c r="Y280" t="inlineStr">
        <is>
          <t>BALANCE TASAS</t>
        </is>
      </c>
      <c r="Z280" t="inlineStr">
        <is>
          <t>HTM</t>
        </is>
      </c>
      <c r="AA280" t="n">
        <v>1</v>
      </c>
    </row>
    <row r="281">
      <c r="A281" s="71" t="n">
        <v>45923</v>
      </c>
      <c r="B281" t="n">
        <v>1</v>
      </c>
      <c r="D281" t="inlineStr">
        <is>
          <t>PAS</t>
        </is>
      </c>
      <c r="E281" t="inlineStr">
        <is>
          <t>CLF</t>
        </is>
      </c>
      <c r="F281" t="inlineStr">
        <is>
          <t>CLF</t>
        </is>
      </c>
      <c r="H281" t="inlineStr">
        <is>
          <t>MT_R13_CTA. AHORRO</t>
        </is>
      </c>
      <c r="I281" t="inlineStr">
        <is>
          <t>MT_R13_CTA. AHORRO G.INC_CORE</t>
        </is>
      </c>
      <c r="K281" t="n">
        <v>19</v>
      </c>
      <c r="M281" s="71" t="n">
        <v>46477</v>
      </c>
      <c r="N281" s="71" t="n">
        <v>46477</v>
      </c>
      <c r="O281" s="71" t="n">
        <v>46477</v>
      </c>
      <c r="P281" t="n">
        <v>5803.474681839705</v>
      </c>
      <c r="V281" t="n">
        <v>1</v>
      </c>
      <c r="W281" t="inlineStr">
        <is>
          <t>BALANCE TASAS</t>
        </is>
      </c>
      <c r="Y281" t="inlineStr">
        <is>
          <t>BALANCE TASAS</t>
        </is>
      </c>
      <c r="Z281" t="inlineStr">
        <is>
          <t>HTM</t>
        </is>
      </c>
      <c r="AA281" t="n">
        <v>1</v>
      </c>
    </row>
    <row r="282">
      <c r="A282" s="71" t="n">
        <v>45923</v>
      </c>
      <c r="B282" t="n">
        <v>1</v>
      </c>
      <c r="D282" t="inlineStr">
        <is>
          <t>PAS</t>
        </is>
      </c>
      <c r="E282" t="inlineStr">
        <is>
          <t>CLF</t>
        </is>
      </c>
      <c r="F282" t="inlineStr">
        <is>
          <t>CLF</t>
        </is>
      </c>
      <c r="H282" t="inlineStr">
        <is>
          <t>MT_R13_CTA. AHORRO</t>
        </is>
      </c>
      <c r="I282" t="inlineStr">
        <is>
          <t>MT_R13_CTA. AHORRO G.INC_CORE</t>
        </is>
      </c>
      <c r="K282" t="n">
        <v>20</v>
      </c>
      <c r="M282" s="71" t="n">
        <v>46507</v>
      </c>
      <c r="N282" s="71" t="n">
        <v>46507</v>
      </c>
      <c r="O282" s="71" t="n">
        <v>46507</v>
      </c>
      <c r="P282" t="n">
        <v>5751.966826006713</v>
      </c>
      <c r="V282" t="n">
        <v>1</v>
      </c>
      <c r="W282" t="inlineStr">
        <is>
          <t>BALANCE TASAS</t>
        </is>
      </c>
      <c r="Y282" t="inlineStr">
        <is>
          <t>BALANCE TASAS</t>
        </is>
      </c>
      <c r="Z282" t="inlineStr">
        <is>
          <t>HTM</t>
        </is>
      </c>
      <c r="AA282" t="n">
        <v>1</v>
      </c>
    </row>
    <row r="283">
      <c r="A283" s="71" t="n">
        <v>45923</v>
      </c>
      <c r="B283" t="n">
        <v>1</v>
      </c>
      <c r="D283" t="inlineStr">
        <is>
          <t>PAS</t>
        </is>
      </c>
      <c r="E283" t="inlineStr">
        <is>
          <t>CLF</t>
        </is>
      </c>
      <c r="F283" t="inlineStr">
        <is>
          <t>CLF</t>
        </is>
      </c>
      <c r="H283" t="inlineStr">
        <is>
          <t>MT_R13_CTA. AHORRO</t>
        </is>
      </c>
      <c r="I283" t="inlineStr">
        <is>
          <t>MT_R13_CTA. AHORRO G.INC_CORE</t>
        </is>
      </c>
      <c r="K283" t="n">
        <v>21</v>
      </c>
      <c r="M283" s="71" t="n">
        <v>46538</v>
      </c>
      <c r="N283" s="71" t="n">
        <v>46538</v>
      </c>
      <c r="O283" s="71" t="n">
        <v>46538</v>
      </c>
      <c r="P283" t="n">
        <v>5701.227744141377</v>
      </c>
      <c r="V283" t="n">
        <v>1</v>
      </c>
      <c r="W283" t="inlineStr">
        <is>
          <t>BALANCE TASAS</t>
        </is>
      </c>
      <c r="Y283" t="inlineStr">
        <is>
          <t>BALANCE TASAS</t>
        </is>
      </c>
      <c r="Z283" t="inlineStr">
        <is>
          <t>HTM</t>
        </is>
      </c>
      <c r="AA283" t="n">
        <v>1</v>
      </c>
    </row>
    <row r="284">
      <c r="A284" s="71" t="n">
        <v>45923</v>
      </c>
      <c r="B284" t="n">
        <v>1</v>
      </c>
      <c r="D284" t="inlineStr">
        <is>
          <t>PAS</t>
        </is>
      </c>
      <c r="E284" t="inlineStr">
        <is>
          <t>CLF</t>
        </is>
      </c>
      <c r="F284" t="inlineStr">
        <is>
          <t>CLF</t>
        </is>
      </c>
      <c r="H284" t="inlineStr">
        <is>
          <t>MT_R13_CTA. AHORRO</t>
        </is>
      </c>
      <c r="I284" t="inlineStr">
        <is>
          <t>MT_R13_CTA. AHORRO G.INC_CORE</t>
        </is>
      </c>
      <c r="K284" t="n">
        <v>22</v>
      </c>
      <c r="M284" s="71" t="n">
        <v>46568</v>
      </c>
      <c r="N284" s="71" t="n">
        <v>46568</v>
      </c>
      <c r="O284" s="71" t="n">
        <v>46568</v>
      </c>
      <c r="P284" t="n">
        <v>5650.488662276041</v>
      </c>
      <c r="V284" t="n">
        <v>1</v>
      </c>
      <c r="W284" t="inlineStr">
        <is>
          <t>BALANCE TASAS</t>
        </is>
      </c>
      <c r="Y284" t="inlineStr">
        <is>
          <t>BALANCE TASAS</t>
        </is>
      </c>
      <c r="Z284" t="inlineStr">
        <is>
          <t>HTM</t>
        </is>
      </c>
      <c r="AA284" t="n">
        <v>1</v>
      </c>
    </row>
    <row r="285">
      <c r="A285" s="71" t="n">
        <v>45923</v>
      </c>
      <c r="B285" t="n">
        <v>1</v>
      </c>
      <c r="D285" t="inlineStr">
        <is>
          <t>PAS</t>
        </is>
      </c>
      <c r="E285" t="inlineStr">
        <is>
          <t>CLF</t>
        </is>
      </c>
      <c r="F285" t="inlineStr">
        <is>
          <t>CLF</t>
        </is>
      </c>
      <c r="H285" t="inlineStr">
        <is>
          <t>MT_R13_CTA. AHORRO</t>
        </is>
      </c>
      <c r="I285" t="inlineStr">
        <is>
          <t>MT_R13_CTA. AHORRO G.INC_CORE</t>
        </is>
      </c>
      <c r="K285" t="n">
        <v>23</v>
      </c>
      <c r="M285" s="71" t="n">
        <v>46599</v>
      </c>
      <c r="N285" s="71" t="n">
        <v>46599</v>
      </c>
      <c r="O285" s="71" t="n">
        <v>46599</v>
      </c>
      <c r="P285" t="n">
        <v>5600.518354378361</v>
      </c>
      <c r="V285" t="n">
        <v>1</v>
      </c>
      <c r="W285" t="inlineStr">
        <is>
          <t>BALANCE TASAS</t>
        </is>
      </c>
      <c r="Y285" t="inlineStr">
        <is>
          <t>BALANCE TASAS</t>
        </is>
      </c>
      <c r="Z285" t="inlineStr">
        <is>
          <t>HTM</t>
        </is>
      </c>
      <c r="AA285" t="n">
        <v>1</v>
      </c>
    </row>
    <row r="286">
      <c r="A286" s="71" t="n">
        <v>45923</v>
      </c>
      <c r="B286" t="n">
        <v>1</v>
      </c>
      <c r="D286" t="inlineStr">
        <is>
          <t>PAS</t>
        </is>
      </c>
      <c r="E286" t="inlineStr">
        <is>
          <t>CLF</t>
        </is>
      </c>
      <c r="F286" t="inlineStr">
        <is>
          <t>CLF</t>
        </is>
      </c>
      <c r="H286" t="inlineStr">
        <is>
          <t>MT_R13_CTA. AHORRO</t>
        </is>
      </c>
      <c r="I286" t="inlineStr">
        <is>
          <t>MT_R13_CTA. AHORRO G.INC_CORE</t>
        </is>
      </c>
      <c r="K286" t="n">
        <v>24</v>
      </c>
      <c r="M286" s="71" t="n">
        <v>46630</v>
      </c>
      <c r="N286" s="71" t="n">
        <v>46630</v>
      </c>
      <c r="O286" s="71" t="n">
        <v>46630</v>
      </c>
      <c r="P286" t="n">
        <v>5550.548046480682</v>
      </c>
      <c r="V286" t="n">
        <v>1</v>
      </c>
      <c r="W286" t="inlineStr">
        <is>
          <t>BALANCE TASAS</t>
        </is>
      </c>
      <c r="Y286" t="inlineStr">
        <is>
          <t>BALANCE TASAS</t>
        </is>
      </c>
      <c r="Z286" t="inlineStr">
        <is>
          <t>HTM</t>
        </is>
      </c>
      <c r="AA286" t="n">
        <v>1</v>
      </c>
    </row>
    <row r="287">
      <c r="A287" s="71" t="n">
        <v>45923</v>
      </c>
      <c r="B287" t="n">
        <v>1</v>
      </c>
      <c r="D287" t="inlineStr">
        <is>
          <t>PAS</t>
        </is>
      </c>
      <c r="E287" t="inlineStr">
        <is>
          <t>CLF</t>
        </is>
      </c>
      <c r="F287" t="inlineStr">
        <is>
          <t>CLF</t>
        </is>
      </c>
      <c r="H287" t="inlineStr">
        <is>
          <t>MT_R13_CTA. AHORRO</t>
        </is>
      </c>
      <c r="I287" t="inlineStr">
        <is>
          <t>MT_R13_CTA. AHORRO G.INC_CORE</t>
        </is>
      </c>
      <c r="K287" t="n">
        <v>25</v>
      </c>
      <c r="M287" s="71" t="n">
        <v>46660</v>
      </c>
      <c r="N287" s="71" t="n">
        <v>46660</v>
      </c>
      <c r="O287" s="71" t="n">
        <v>46660</v>
      </c>
      <c r="P287" t="n">
        <v>5501.34651255066</v>
      </c>
      <c r="V287" t="n">
        <v>1</v>
      </c>
      <c r="W287" t="inlineStr">
        <is>
          <t>BALANCE TASAS</t>
        </is>
      </c>
      <c r="Y287" t="inlineStr">
        <is>
          <t>BALANCE TASAS</t>
        </is>
      </c>
      <c r="Z287" t="inlineStr">
        <is>
          <t>HTM</t>
        </is>
      </c>
      <c r="AA287" t="n">
        <v>1</v>
      </c>
    </row>
    <row r="288">
      <c r="A288" s="71" t="n">
        <v>45923</v>
      </c>
      <c r="B288" t="n">
        <v>1</v>
      </c>
      <c r="D288" t="inlineStr">
        <is>
          <t>PAS</t>
        </is>
      </c>
      <c r="E288" t="inlineStr">
        <is>
          <t>CLF</t>
        </is>
      </c>
      <c r="F288" t="inlineStr">
        <is>
          <t>CLF</t>
        </is>
      </c>
      <c r="H288" t="inlineStr">
        <is>
          <t>MT_R13_CTA. AHORRO</t>
        </is>
      </c>
      <c r="I288" t="inlineStr">
        <is>
          <t>MT_R13_CTA. AHORRO G.INC_CORE</t>
        </is>
      </c>
      <c r="K288" t="n">
        <v>26</v>
      </c>
      <c r="M288" s="71" t="n">
        <v>46691</v>
      </c>
      <c r="N288" s="71" t="n">
        <v>46691</v>
      </c>
      <c r="O288" s="71" t="n">
        <v>46691</v>
      </c>
      <c r="P288" t="n">
        <v>5452.913752588294</v>
      </c>
      <c r="V288" t="n">
        <v>1</v>
      </c>
      <c r="W288" t="inlineStr">
        <is>
          <t>BALANCE TASAS</t>
        </is>
      </c>
      <c r="Y288" t="inlineStr">
        <is>
          <t>BALANCE TASAS</t>
        </is>
      </c>
      <c r="Z288" t="inlineStr">
        <is>
          <t>HTM</t>
        </is>
      </c>
      <c r="AA288" t="n">
        <v>1</v>
      </c>
    </row>
    <row r="289">
      <c r="A289" s="71" t="n">
        <v>45923</v>
      </c>
      <c r="B289" t="n">
        <v>1</v>
      </c>
      <c r="D289" t="inlineStr">
        <is>
          <t>PAS</t>
        </is>
      </c>
      <c r="E289" t="inlineStr">
        <is>
          <t>CLF</t>
        </is>
      </c>
      <c r="F289" t="inlineStr">
        <is>
          <t>CLF</t>
        </is>
      </c>
      <c r="H289" t="inlineStr">
        <is>
          <t>MT_R13_CTA. AHORRO</t>
        </is>
      </c>
      <c r="I289" t="inlineStr">
        <is>
          <t>MT_R13_CTA. AHORRO G.INC_CORE</t>
        </is>
      </c>
      <c r="K289" t="n">
        <v>27</v>
      </c>
      <c r="M289" s="71" t="n">
        <v>46721</v>
      </c>
      <c r="N289" s="71" t="n">
        <v>46721</v>
      </c>
      <c r="O289" s="71" t="n">
        <v>46721</v>
      </c>
      <c r="P289" t="n">
        <v>5404.480992625928</v>
      </c>
      <c r="V289" t="n">
        <v>1</v>
      </c>
      <c r="W289" t="inlineStr">
        <is>
          <t>BALANCE TASAS</t>
        </is>
      </c>
      <c r="Y289" t="inlineStr">
        <is>
          <t>BALANCE TASAS</t>
        </is>
      </c>
      <c r="Z289" t="inlineStr">
        <is>
          <t>HTM</t>
        </is>
      </c>
      <c r="AA289" t="n">
        <v>1</v>
      </c>
    </row>
    <row r="290">
      <c r="A290" s="71" t="n">
        <v>45923</v>
      </c>
      <c r="B290" t="n">
        <v>1</v>
      </c>
      <c r="D290" t="inlineStr">
        <is>
          <t>PAS</t>
        </is>
      </c>
      <c r="E290" t="inlineStr">
        <is>
          <t>CLF</t>
        </is>
      </c>
      <c r="F290" t="inlineStr">
        <is>
          <t>CLF</t>
        </is>
      </c>
      <c r="H290" t="inlineStr">
        <is>
          <t>MT_R13_CTA. AHORRO</t>
        </is>
      </c>
      <c r="I290" t="inlineStr">
        <is>
          <t>MT_R13_CTA. AHORRO G.INC_CORE</t>
        </is>
      </c>
      <c r="K290" t="n">
        <v>28</v>
      </c>
      <c r="M290" s="71" t="n">
        <v>46752</v>
      </c>
      <c r="N290" s="71" t="n">
        <v>46752</v>
      </c>
      <c r="O290" s="71" t="n">
        <v>46752</v>
      </c>
      <c r="P290" t="n">
        <v>5356.817006631219</v>
      </c>
      <c r="V290" t="n">
        <v>1</v>
      </c>
      <c r="W290" t="inlineStr">
        <is>
          <t>BALANCE TASAS</t>
        </is>
      </c>
      <c r="Y290" t="inlineStr">
        <is>
          <t>BALANCE TASAS</t>
        </is>
      </c>
      <c r="Z290" t="inlineStr">
        <is>
          <t>HTM</t>
        </is>
      </c>
      <c r="AA290" t="n">
        <v>1</v>
      </c>
    </row>
    <row r="291">
      <c r="A291" s="71" t="n">
        <v>45923</v>
      </c>
      <c r="B291" t="n">
        <v>1</v>
      </c>
      <c r="D291" t="inlineStr">
        <is>
          <t>PAS</t>
        </is>
      </c>
      <c r="E291" t="inlineStr">
        <is>
          <t>CLF</t>
        </is>
      </c>
      <c r="F291" t="inlineStr">
        <is>
          <t>CLF</t>
        </is>
      </c>
      <c r="H291" t="inlineStr">
        <is>
          <t>MT_R13_CTA. AHORRO</t>
        </is>
      </c>
      <c r="I291" t="inlineStr">
        <is>
          <t>MT_R13_CTA. AHORRO G.INC_CORE</t>
        </is>
      </c>
      <c r="K291" t="n">
        <v>29</v>
      </c>
      <c r="M291" s="71" t="n">
        <v>46783</v>
      </c>
      <c r="N291" s="71" t="n">
        <v>46783</v>
      </c>
      <c r="O291" s="71" t="n">
        <v>46783</v>
      </c>
      <c r="P291" t="n">
        <v>5309.153020636509</v>
      </c>
      <c r="V291" t="n">
        <v>1</v>
      </c>
      <c r="W291" t="inlineStr">
        <is>
          <t>BALANCE TASAS</t>
        </is>
      </c>
      <c r="Y291" t="inlineStr">
        <is>
          <t>BALANCE TASAS</t>
        </is>
      </c>
      <c r="Z291" t="inlineStr">
        <is>
          <t>HTM</t>
        </is>
      </c>
      <c r="AA291" t="n">
        <v>1</v>
      </c>
    </row>
    <row r="292">
      <c r="A292" s="71" t="n">
        <v>45923</v>
      </c>
      <c r="B292" t="n">
        <v>1</v>
      </c>
      <c r="D292" t="inlineStr">
        <is>
          <t>PAS</t>
        </is>
      </c>
      <c r="E292" t="inlineStr">
        <is>
          <t>CLF</t>
        </is>
      </c>
      <c r="F292" t="inlineStr">
        <is>
          <t>CLF</t>
        </is>
      </c>
      <c r="H292" t="inlineStr">
        <is>
          <t>MT_R13_CTA. AHORRO</t>
        </is>
      </c>
      <c r="I292" t="inlineStr">
        <is>
          <t>MT_R13_CTA. AHORRO G.INC_CORE</t>
        </is>
      </c>
      <c r="K292" t="n">
        <v>30</v>
      </c>
      <c r="M292" s="71" t="n">
        <v>46812</v>
      </c>
      <c r="N292" s="71" t="n">
        <v>46812</v>
      </c>
      <c r="O292" s="71" t="n">
        <v>46812</v>
      </c>
      <c r="P292" t="n">
        <v>5262.257808609456</v>
      </c>
      <c r="V292" t="n">
        <v>1</v>
      </c>
      <c r="W292" t="inlineStr">
        <is>
          <t>BALANCE TASAS</t>
        </is>
      </c>
      <c r="Y292" t="inlineStr">
        <is>
          <t>BALANCE TASAS</t>
        </is>
      </c>
      <c r="Z292" t="inlineStr">
        <is>
          <t>HTM</t>
        </is>
      </c>
      <c r="AA292" t="n">
        <v>1</v>
      </c>
    </row>
    <row r="293">
      <c r="A293" s="71" t="n">
        <v>45923</v>
      </c>
      <c r="B293" t="n">
        <v>1</v>
      </c>
      <c r="D293" t="inlineStr">
        <is>
          <t>PAS</t>
        </is>
      </c>
      <c r="E293" t="inlineStr">
        <is>
          <t>CLF</t>
        </is>
      </c>
      <c r="F293" t="inlineStr">
        <is>
          <t>CLF</t>
        </is>
      </c>
      <c r="H293" t="inlineStr">
        <is>
          <t>MT_R13_CTA. AHORRO</t>
        </is>
      </c>
      <c r="I293" t="inlineStr">
        <is>
          <t>MT_R13_CTA. AHORRO G.INC_CORE</t>
        </is>
      </c>
      <c r="K293" t="n">
        <v>31</v>
      </c>
      <c r="M293" s="71" t="n">
        <v>46843</v>
      </c>
      <c r="N293" s="71" t="n">
        <v>46843</v>
      </c>
      <c r="O293" s="71" t="n">
        <v>46843</v>
      </c>
      <c r="P293" t="n">
        <v>5215.362596582403</v>
      </c>
      <c r="V293" t="n">
        <v>1</v>
      </c>
      <c r="W293" t="inlineStr">
        <is>
          <t>BALANCE TASAS</t>
        </is>
      </c>
      <c r="Y293" t="inlineStr">
        <is>
          <t>BALANCE TASAS</t>
        </is>
      </c>
      <c r="Z293" t="inlineStr">
        <is>
          <t>HTM</t>
        </is>
      </c>
      <c r="AA293" t="n">
        <v>1</v>
      </c>
    </row>
    <row r="294">
      <c r="A294" s="71" t="n">
        <v>45923</v>
      </c>
      <c r="B294" t="n">
        <v>1</v>
      </c>
      <c r="D294" t="inlineStr">
        <is>
          <t>PAS</t>
        </is>
      </c>
      <c r="E294" t="inlineStr">
        <is>
          <t>CLF</t>
        </is>
      </c>
      <c r="F294" t="inlineStr">
        <is>
          <t>CLF</t>
        </is>
      </c>
      <c r="H294" t="inlineStr">
        <is>
          <t>MT_R13_CTA. AHORRO</t>
        </is>
      </c>
      <c r="I294" t="inlineStr">
        <is>
          <t>MT_R13_CTA. AHORRO G.INC_CORE</t>
        </is>
      </c>
      <c r="K294" t="n">
        <v>32</v>
      </c>
      <c r="M294" s="71" t="n">
        <v>46873</v>
      </c>
      <c r="N294" s="71" t="n">
        <v>46873</v>
      </c>
      <c r="O294" s="71" t="n">
        <v>46873</v>
      </c>
      <c r="P294" t="n">
        <v>5169.236158523007</v>
      </c>
      <c r="V294" t="n">
        <v>1</v>
      </c>
      <c r="W294" t="inlineStr">
        <is>
          <t>BALANCE TASAS</t>
        </is>
      </c>
      <c r="Y294" t="inlineStr">
        <is>
          <t>BALANCE TASAS</t>
        </is>
      </c>
      <c r="Z294" t="inlineStr">
        <is>
          <t>HTM</t>
        </is>
      </c>
      <c r="AA294" t="n">
        <v>1</v>
      </c>
    </row>
    <row r="295">
      <c r="A295" s="71" t="n">
        <v>45923</v>
      </c>
      <c r="B295" t="n">
        <v>1</v>
      </c>
      <c r="D295" t="inlineStr">
        <is>
          <t>PAS</t>
        </is>
      </c>
      <c r="E295" t="inlineStr">
        <is>
          <t>CLF</t>
        </is>
      </c>
      <c r="F295" t="inlineStr">
        <is>
          <t>CLF</t>
        </is>
      </c>
      <c r="H295" t="inlineStr">
        <is>
          <t>MT_R13_CTA. AHORRO</t>
        </is>
      </c>
      <c r="I295" t="inlineStr">
        <is>
          <t>MT_R13_CTA. AHORRO G.INC_CORE</t>
        </is>
      </c>
      <c r="K295" t="n">
        <v>33</v>
      </c>
      <c r="M295" s="71" t="n">
        <v>46904</v>
      </c>
      <c r="N295" s="71" t="n">
        <v>46904</v>
      </c>
      <c r="O295" s="71" t="n">
        <v>46904</v>
      </c>
      <c r="P295" t="n">
        <v>5123.878494431267</v>
      </c>
      <c r="V295" t="n">
        <v>1</v>
      </c>
      <c r="W295" t="inlineStr">
        <is>
          <t>BALANCE TASAS</t>
        </is>
      </c>
      <c r="Y295" t="inlineStr">
        <is>
          <t>BALANCE TASAS</t>
        </is>
      </c>
      <c r="Z295" t="inlineStr">
        <is>
          <t>HTM</t>
        </is>
      </c>
      <c r="AA295" t="n">
        <v>1</v>
      </c>
    </row>
    <row r="296">
      <c r="A296" s="71" t="n">
        <v>45923</v>
      </c>
      <c r="B296" t="n">
        <v>1</v>
      </c>
      <c r="D296" t="inlineStr">
        <is>
          <t>PAS</t>
        </is>
      </c>
      <c r="E296" t="inlineStr">
        <is>
          <t>CLF</t>
        </is>
      </c>
      <c r="F296" t="inlineStr">
        <is>
          <t>CLF</t>
        </is>
      </c>
      <c r="H296" t="inlineStr">
        <is>
          <t>MT_R13_CTA. AHORRO</t>
        </is>
      </c>
      <c r="I296" t="inlineStr">
        <is>
          <t>MT_R13_CTA. AHORRO G.INC_CORE</t>
        </is>
      </c>
      <c r="K296" t="n">
        <v>34</v>
      </c>
      <c r="M296" s="71" t="n">
        <v>46934</v>
      </c>
      <c r="N296" s="71" t="n">
        <v>46934</v>
      </c>
      <c r="O296" s="71" t="n">
        <v>46934</v>
      </c>
      <c r="P296" t="n">
        <v>5078.520830339527</v>
      </c>
      <c r="V296" t="n">
        <v>1</v>
      </c>
      <c r="W296" t="inlineStr">
        <is>
          <t>BALANCE TASAS</t>
        </is>
      </c>
      <c r="Y296" t="inlineStr">
        <is>
          <t>BALANCE TASAS</t>
        </is>
      </c>
      <c r="Z296" t="inlineStr">
        <is>
          <t>HTM</t>
        </is>
      </c>
      <c r="AA296" t="n">
        <v>1</v>
      </c>
    </row>
    <row r="297">
      <c r="A297" s="71" t="n">
        <v>45923</v>
      </c>
      <c r="B297" t="n">
        <v>1</v>
      </c>
      <c r="D297" t="inlineStr">
        <is>
          <t>PAS</t>
        </is>
      </c>
      <c r="E297" t="inlineStr">
        <is>
          <t>CLF</t>
        </is>
      </c>
      <c r="F297" t="inlineStr">
        <is>
          <t>CLF</t>
        </is>
      </c>
      <c r="H297" t="inlineStr">
        <is>
          <t>MT_R13_CTA. AHORRO</t>
        </is>
      </c>
      <c r="I297" t="inlineStr">
        <is>
          <t>MT_R13_CTA. AHORRO G.INC_CORE</t>
        </is>
      </c>
      <c r="K297" t="n">
        <v>35</v>
      </c>
      <c r="M297" s="71" t="n">
        <v>46965</v>
      </c>
      <c r="N297" s="71" t="n">
        <v>46965</v>
      </c>
      <c r="O297" s="71" t="n">
        <v>46965</v>
      </c>
      <c r="P297" t="n">
        <v>5033.163166247788</v>
      </c>
      <c r="V297" t="n">
        <v>1</v>
      </c>
      <c r="W297" t="inlineStr">
        <is>
          <t>BALANCE TASAS</t>
        </is>
      </c>
      <c r="Y297" t="inlineStr">
        <is>
          <t>BALANCE TASAS</t>
        </is>
      </c>
      <c r="Z297" t="inlineStr">
        <is>
          <t>HTM</t>
        </is>
      </c>
      <c r="AA297" t="n">
        <v>1</v>
      </c>
    </row>
    <row r="298">
      <c r="A298" s="71" t="n">
        <v>45923</v>
      </c>
      <c r="B298" t="n">
        <v>1</v>
      </c>
      <c r="D298" t="inlineStr">
        <is>
          <t>PAS</t>
        </is>
      </c>
      <c r="E298" t="inlineStr">
        <is>
          <t>CLF</t>
        </is>
      </c>
      <c r="F298" t="inlineStr">
        <is>
          <t>CLF</t>
        </is>
      </c>
      <c r="H298" t="inlineStr">
        <is>
          <t>MT_R13_CTA. AHORRO</t>
        </is>
      </c>
      <c r="I298" t="inlineStr">
        <is>
          <t>MT_R13_CTA. AHORRO G.INC_CORE</t>
        </is>
      </c>
      <c r="K298" t="n">
        <v>36</v>
      </c>
      <c r="M298" s="71" t="n">
        <v>46996</v>
      </c>
      <c r="N298" s="71" t="n">
        <v>46996</v>
      </c>
      <c r="O298" s="71" t="n">
        <v>46996</v>
      </c>
      <c r="P298" t="n">
        <v>4988.574276123705</v>
      </c>
      <c r="V298" t="n">
        <v>1</v>
      </c>
      <c r="W298" t="inlineStr">
        <is>
          <t>BALANCE TASAS</t>
        </is>
      </c>
      <c r="Y298" t="inlineStr">
        <is>
          <t>BALANCE TASAS</t>
        </is>
      </c>
      <c r="Z298" t="inlineStr">
        <is>
          <t>HTM</t>
        </is>
      </c>
      <c r="AA298" t="n">
        <v>1</v>
      </c>
    </row>
    <row r="299">
      <c r="A299" s="71" t="n">
        <v>45923</v>
      </c>
      <c r="B299" t="n">
        <v>1</v>
      </c>
      <c r="D299" t="inlineStr">
        <is>
          <t>PAS</t>
        </is>
      </c>
      <c r="E299" t="inlineStr">
        <is>
          <t>CLF</t>
        </is>
      </c>
      <c r="F299" t="inlineStr">
        <is>
          <t>CLF</t>
        </is>
      </c>
      <c r="H299" t="inlineStr">
        <is>
          <t>MT_R13_CTA. AHORRO</t>
        </is>
      </c>
      <c r="I299" t="inlineStr">
        <is>
          <t>MT_R13_CTA. AHORRO G.INC_CORE</t>
        </is>
      </c>
      <c r="K299" t="n">
        <v>37</v>
      </c>
      <c r="M299" s="71" t="n">
        <v>47026</v>
      </c>
      <c r="N299" s="71" t="n">
        <v>47026</v>
      </c>
      <c r="O299" s="71" t="n">
        <v>47026</v>
      </c>
      <c r="P299" t="n">
        <v>4943.985385999622</v>
      </c>
      <c r="V299" t="n">
        <v>1</v>
      </c>
      <c r="W299" t="inlineStr">
        <is>
          <t>BALANCE TASAS</t>
        </is>
      </c>
      <c r="Y299" t="inlineStr">
        <is>
          <t>BALANCE TASAS</t>
        </is>
      </c>
      <c r="Z299" t="inlineStr">
        <is>
          <t>HTM</t>
        </is>
      </c>
      <c r="AA299" t="n">
        <v>1</v>
      </c>
    </row>
    <row r="300">
      <c r="A300" s="71" t="n">
        <v>45923</v>
      </c>
      <c r="B300" t="n">
        <v>1</v>
      </c>
      <c r="D300" t="inlineStr">
        <is>
          <t>PAS</t>
        </is>
      </c>
      <c r="E300" t="inlineStr">
        <is>
          <t>CLF</t>
        </is>
      </c>
      <c r="F300" t="inlineStr">
        <is>
          <t>CLF</t>
        </is>
      </c>
      <c r="H300" t="inlineStr">
        <is>
          <t>MT_R13_CTA. AHORRO</t>
        </is>
      </c>
      <c r="I300" t="inlineStr">
        <is>
          <t>MT_R13_CTA. AHORRO G.INC_CORE</t>
        </is>
      </c>
      <c r="K300" t="n">
        <v>38</v>
      </c>
      <c r="M300" s="71" t="n">
        <v>47057</v>
      </c>
      <c r="N300" s="71" t="n">
        <v>47057</v>
      </c>
      <c r="O300" s="71" t="n">
        <v>47057</v>
      </c>
      <c r="P300" t="n">
        <v>4900.165269843195</v>
      </c>
      <c r="V300" t="n">
        <v>1</v>
      </c>
      <c r="W300" t="inlineStr">
        <is>
          <t>BALANCE TASAS</t>
        </is>
      </c>
      <c r="Y300" t="inlineStr">
        <is>
          <t>BALANCE TASAS</t>
        </is>
      </c>
      <c r="Z300" t="inlineStr">
        <is>
          <t>HTM</t>
        </is>
      </c>
      <c r="AA300" t="n">
        <v>1</v>
      </c>
    </row>
    <row r="301">
      <c r="A301" s="71" t="n">
        <v>45923</v>
      </c>
      <c r="B301" t="n">
        <v>1</v>
      </c>
      <c r="D301" t="inlineStr">
        <is>
          <t>PAS</t>
        </is>
      </c>
      <c r="E301" t="inlineStr">
        <is>
          <t>CLF</t>
        </is>
      </c>
      <c r="F301" t="inlineStr">
        <is>
          <t>CLF</t>
        </is>
      </c>
      <c r="H301" t="inlineStr">
        <is>
          <t>MT_R13_CTA. AHORRO</t>
        </is>
      </c>
      <c r="I301" t="inlineStr">
        <is>
          <t>MT_R13_CTA. AHORRO G.INC_CORE</t>
        </is>
      </c>
      <c r="K301" t="n">
        <v>39</v>
      </c>
      <c r="M301" s="71" t="n">
        <v>47087</v>
      </c>
      <c r="N301" s="71" t="n">
        <v>47087</v>
      </c>
      <c r="O301" s="71" t="n">
        <v>47087</v>
      </c>
      <c r="P301" t="n">
        <v>4857.113927654425</v>
      </c>
      <c r="V301" t="n">
        <v>1</v>
      </c>
      <c r="W301" t="inlineStr">
        <is>
          <t>BALANCE TASAS</t>
        </is>
      </c>
      <c r="Y301" t="inlineStr">
        <is>
          <t>BALANCE TASAS</t>
        </is>
      </c>
      <c r="Z301" t="inlineStr">
        <is>
          <t>HTM</t>
        </is>
      </c>
      <c r="AA301" t="n">
        <v>1</v>
      </c>
    </row>
    <row r="302">
      <c r="A302" s="71" t="n">
        <v>45923</v>
      </c>
      <c r="B302" t="n">
        <v>1</v>
      </c>
      <c r="D302" t="inlineStr">
        <is>
          <t>PAS</t>
        </is>
      </c>
      <c r="E302" t="inlineStr">
        <is>
          <t>CLF</t>
        </is>
      </c>
      <c r="F302" t="inlineStr">
        <is>
          <t>CLF</t>
        </is>
      </c>
      <c r="H302" t="inlineStr">
        <is>
          <t>MT_R13_CTA. AHORRO</t>
        </is>
      </c>
      <c r="I302" t="inlineStr">
        <is>
          <t>MT_R13_CTA. AHORRO G.INC_CORE</t>
        </is>
      </c>
      <c r="K302" t="n">
        <v>40</v>
      </c>
      <c r="M302" s="71" t="n">
        <v>47118</v>
      </c>
      <c r="N302" s="71" t="n">
        <v>47118</v>
      </c>
      <c r="O302" s="71" t="n">
        <v>47118</v>
      </c>
      <c r="P302" t="n">
        <v>4814.062585465656</v>
      </c>
      <c r="V302" t="n">
        <v>1</v>
      </c>
      <c r="W302" t="inlineStr">
        <is>
          <t>BALANCE TASAS</t>
        </is>
      </c>
      <c r="Y302" t="inlineStr">
        <is>
          <t>BALANCE TASAS</t>
        </is>
      </c>
      <c r="Z302" t="inlineStr">
        <is>
          <t>HTM</t>
        </is>
      </c>
      <c r="AA302" t="n">
        <v>1</v>
      </c>
    </row>
    <row r="303">
      <c r="A303" s="71" t="n">
        <v>45923</v>
      </c>
      <c r="B303" t="n">
        <v>1</v>
      </c>
      <c r="D303" t="inlineStr">
        <is>
          <t>PAS</t>
        </is>
      </c>
      <c r="E303" t="inlineStr">
        <is>
          <t>CLF</t>
        </is>
      </c>
      <c r="F303" t="inlineStr">
        <is>
          <t>CLF</t>
        </is>
      </c>
      <c r="H303" t="inlineStr">
        <is>
          <t>MT_R13_CTA. AHORRO</t>
        </is>
      </c>
      <c r="I303" t="inlineStr">
        <is>
          <t>MT_R13_CTA. AHORRO G.INC_CORE</t>
        </is>
      </c>
      <c r="K303" t="n">
        <v>41</v>
      </c>
      <c r="M303" s="71" t="n">
        <v>47149</v>
      </c>
      <c r="N303" s="71" t="n">
        <v>47149</v>
      </c>
      <c r="O303" s="71" t="n">
        <v>47149</v>
      </c>
      <c r="P303" t="n">
        <v>4771.780017244542</v>
      </c>
      <c r="V303" t="n">
        <v>1</v>
      </c>
      <c r="W303" t="inlineStr">
        <is>
          <t>BALANCE TASAS</t>
        </is>
      </c>
      <c r="Y303" t="inlineStr">
        <is>
          <t>BALANCE TASAS</t>
        </is>
      </c>
      <c r="Z303" t="inlineStr">
        <is>
          <t>HTM</t>
        </is>
      </c>
      <c r="AA303" t="n">
        <v>1</v>
      </c>
    </row>
    <row r="304">
      <c r="A304" s="71" t="n">
        <v>45923</v>
      </c>
      <c r="B304" t="n">
        <v>1</v>
      </c>
      <c r="D304" t="inlineStr">
        <is>
          <t>PAS</t>
        </is>
      </c>
      <c r="E304" t="inlineStr">
        <is>
          <t>CLF</t>
        </is>
      </c>
      <c r="F304" t="inlineStr">
        <is>
          <t>CLF</t>
        </is>
      </c>
      <c r="H304" t="inlineStr">
        <is>
          <t>MT_R13_CTA. AHORRO</t>
        </is>
      </c>
      <c r="I304" t="inlineStr">
        <is>
          <t>MT_R13_CTA. AHORRO G.INC_CORE</t>
        </is>
      </c>
      <c r="K304" t="n">
        <v>42</v>
      </c>
      <c r="M304" s="71" t="n">
        <v>47177</v>
      </c>
      <c r="N304" s="71" t="n">
        <v>47177</v>
      </c>
      <c r="O304" s="71" t="n">
        <v>47177</v>
      </c>
      <c r="P304" t="n">
        <v>4729.49744902343</v>
      </c>
      <c r="V304" t="n">
        <v>1</v>
      </c>
      <c r="W304" t="inlineStr">
        <is>
          <t>BALANCE TASAS</t>
        </is>
      </c>
      <c r="Y304" t="inlineStr">
        <is>
          <t>BALANCE TASAS</t>
        </is>
      </c>
      <c r="Z304" t="inlineStr">
        <is>
          <t>HTM</t>
        </is>
      </c>
      <c r="AA304" t="n">
        <v>1</v>
      </c>
    </row>
    <row r="305">
      <c r="A305" s="71" t="n">
        <v>45923</v>
      </c>
      <c r="B305" t="n">
        <v>1</v>
      </c>
      <c r="D305" t="inlineStr">
        <is>
          <t>PAS</t>
        </is>
      </c>
      <c r="E305" t="inlineStr">
        <is>
          <t>CLF</t>
        </is>
      </c>
      <c r="F305" t="inlineStr">
        <is>
          <t>CLF</t>
        </is>
      </c>
      <c r="H305" t="inlineStr">
        <is>
          <t>MT_R13_CTA. AHORRO</t>
        </is>
      </c>
      <c r="I305" t="inlineStr">
        <is>
          <t>MT_R13_CTA. AHORRO G.INC_CORE</t>
        </is>
      </c>
      <c r="K305" t="n">
        <v>43</v>
      </c>
      <c r="M305" s="71" t="n">
        <v>47208</v>
      </c>
      <c r="N305" s="71" t="n">
        <v>47208</v>
      </c>
      <c r="O305" s="71" t="n">
        <v>47208</v>
      </c>
      <c r="P305" t="n">
        <v>4687.214880802316</v>
      </c>
      <c r="V305" t="n">
        <v>1</v>
      </c>
      <c r="W305" t="inlineStr">
        <is>
          <t>BALANCE TASAS</t>
        </is>
      </c>
      <c r="Y305" t="inlineStr">
        <is>
          <t>BALANCE TASAS</t>
        </is>
      </c>
      <c r="Z305" t="inlineStr">
        <is>
          <t>HTM</t>
        </is>
      </c>
      <c r="AA305" t="n">
        <v>1</v>
      </c>
    </row>
    <row r="306">
      <c r="A306" s="71" t="n">
        <v>45923</v>
      </c>
      <c r="B306" t="n">
        <v>1</v>
      </c>
      <c r="D306" t="inlineStr">
        <is>
          <t>PAS</t>
        </is>
      </c>
      <c r="E306" t="inlineStr">
        <is>
          <t>CLF</t>
        </is>
      </c>
      <c r="F306" t="inlineStr">
        <is>
          <t>CLF</t>
        </is>
      </c>
      <c r="H306" t="inlineStr">
        <is>
          <t>MT_R13_CTA. AHORRO</t>
        </is>
      </c>
      <c r="I306" t="inlineStr">
        <is>
          <t>MT_R13_CTA. AHORRO G.INC_CORE</t>
        </is>
      </c>
      <c r="K306" t="n">
        <v>44</v>
      </c>
      <c r="M306" s="71" t="n">
        <v>47238</v>
      </c>
      <c r="N306" s="71" t="n">
        <v>47238</v>
      </c>
      <c r="O306" s="71" t="n">
        <v>47238</v>
      </c>
      <c r="P306" t="n">
        <v>4645.701086548859</v>
      </c>
      <c r="V306" t="n">
        <v>1</v>
      </c>
      <c r="W306" t="inlineStr">
        <is>
          <t>BALANCE TASAS</t>
        </is>
      </c>
      <c r="Y306" t="inlineStr">
        <is>
          <t>BALANCE TASAS</t>
        </is>
      </c>
      <c r="Z306" t="inlineStr">
        <is>
          <t>HTM</t>
        </is>
      </c>
      <c r="AA306" t="n">
        <v>1</v>
      </c>
    </row>
    <row r="307">
      <c r="A307" s="71" t="n">
        <v>45923</v>
      </c>
      <c r="B307" t="n">
        <v>1</v>
      </c>
      <c r="D307" t="inlineStr">
        <is>
          <t>PAS</t>
        </is>
      </c>
      <c r="E307" t="inlineStr">
        <is>
          <t>CLF</t>
        </is>
      </c>
      <c r="F307" t="inlineStr">
        <is>
          <t>CLF</t>
        </is>
      </c>
      <c r="H307" t="inlineStr">
        <is>
          <t>MT_R13_CTA. AHORRO</t>
        </is>
      </c>
      <c r="I307" t="inlineStr">
        <is>
          <t>MT_R13_CTA. AHORRO G.INC_CORE</t>
        </is>
      </c>
      <c r="K307" t="n">
        <v>45</v>
      </c>
      <c r="M307" s="71" t="n">
        <v>47269</v>
      </c>
      <c r="N307" s="71" t="n">
        <v>47269</v>
      </c>
      <c r="O307" s="71" t="n">
        <v>47269</v>
      </c>
      <c r="P307" t="n">
        <v>4604.187292295403</v>
      </c>
      <c r="V307" t="n">
        <v>1</v>
      </c>
      <c r="W307" t="inlineStr">
        <is>
          <t>BALANCE TASAS</t>
        </is>
      </c>
      <c r="Y307" t="inlineStr">
        <is>
          <t>BALANCE TASAS</t>
        </is>
      </c>
      <c r="Z307" t="inlineStr">
        <is>
          <t>HTM</t>
        </is>
      </c>
      <c r="AA307" t="n">
        <v>1</v>
      </c>
    </row>
    <row r="308">
      <c r="A308" s="71" t="n">
        <v>45923</v>
      </c>
      <c r="B308" t="n">
        <v>1</v>
      </c>
      <c r="D308" t="inlineStr">
        <is>
          <t>PAS</t>
        </is>
      </c>
      <c r="E308" t="inlineStr">
        <is>
          <t>CLF</t>
        </is>
      </c>
      <c r="F308" t="inlineStr">
        <is>
          <t>CLF</t>
        </is>
      </c>
      <c r="H308" t="inlineStr">
        <is>
          <t>MT_R13_CTA. AHORRO</t>
        </is>
      </c>
      <c r="I308" t="inlineStr">
        <is>
          <t>MT_R13_CTA. AHORRO G.INC_CORE</t>
        </is>
      </c>
      <c r="K308" t="n">
        <v>46</v>
      </c>
      <c r="M308" s="71" t="n">
        <v>47299</v>
      </c>
      <c r="N308" s="71" t="n">
        <v>47299</v>
      </c>
      <c r="O308" s="71" t="n">
        <v>47299</v>
      </c>
      <c r="P308" t="n">
        <v>4563.442272009603</v>
      </c>
      <c r="V308" t="n">
        <v>1</v>
      </c>
      <c r="W308" t="inlineStr">
        <is>
          <t>BALANCE TASAS</t>
        </is>
      </c>
      <c r="Y308" t="inlineStr">
        <is>
          <t>BALANCE TASAS</t>
        </is>
      </c>
      <c r="Z308" t="inlineStr">
        <is>
          <t>HTM</t>
        </is>
      </c>
      <c r="AA308" t="n">
        <v>1</v>
      </c>
    </row>
    <row r="309">
      <c r="A309" s="71" t="n">
        <v>45923</v>
      </c>
      <c r="B309" t="n">
        <v>1</v>
      </c>
      <c r="D309" t="inlineStr">
        <is>
          <t>PAS</t>
        </is>
      </c>
      <c r="E309" t="inlineStr">
        <is>
          <t>CLF</t>
        </is>
      </c>
      <c r="F309" t="inlineStr">
        <is>
          <t>CLF</t>
        </is>
      </c>
      <c r="H309" t="inlineStr">
        <is>
          <t>MT_R13_CTA. AHORRO</t>
        </is>
      </c>
      <c r="I309" t="inlineStr">
        <is>
          <t>MT_R13_CTA. AHORRO G.INC_CORE</t>
        </is>
      </c>
      <c r="K309" t="n">
        <v>47</v>
      </c>
      <c r="M309" s="71" t="n">
        <v>47330</v>
      </c>
      <c r="N309" s="71" t="n">
        <v>47330</v>
      </c>
      <c r="O309" s="71" t="n">
        <v>47330</v>
      </c>
      <c r="P309" t="n">
        <v>4523.466025691459</v>
      </c>
      <c r="V309" t="n">
        <v>1</v>
      </c>
      <c r="W309" t="inlineStr">
        <is>
          <t>BALANCE TASAS</t>
        </is>
      </c>
      <c r="Y309" t="inlineStr">
        <is>
          <t>BALANCE TASAS</t>
        </is>
      </c>
      <c r="Z309" t="inlineStr">
        <is>
          <t>HTM</t>
        </is>
      </c>
      <c r="AA309" t="n">
        <v>1</v>
      </c>
    </row>
    <row r="310">
      <c r="A310" s="71" t="n">
        <v>45923</v>
      </c>
      <c r="B310" t="n">
        <v>1</v>
      </c>
      <c r="D310" t="inlineStr">
        <is>
          <t>PAS</t>
        </is>
      </c>
      <c r="E310" t="inlineStr">
        <is>
          <t>CLF</t>
        </is>
      </c>
      <c r="F310" t="inlineStr">
        <is>
          <t>CLF</t>
        </is>
      </c>
      <c r="H310" t="inlineStr">
        <is>
          <t>MT_R13_CTA. AHORRO</t>
        </is>
      </c>
      <c r="I310" t="inlineStr">
        <is>
          <t>MT_R13_CTA. AHORRO G.INC_CORE</t>
        </is>
      </c>
      <c r="K310" t="n">
        <v>48</v>
      </c>
      <c r="M310" s="71" t="n">
        <v>47361</v>
      </c>
      <c r="N310" s="71" t="n">
        <v>47361</v>
      </c>
      <c r="O310" s="71" t="n">
        <v>47361</v>
      </c>
      <c r="P310" t="n">
        <v>4483.489779373316</v>
      </c>
      <c r="V310" t="n">
        <v>1</v>
      </c>
      <c r="W310" t="inlineStr">
        <is>
          <t>BALANCE TASAS</t>
        </is>
      </c>
      <c r="Y310" t="inlineStr">
        <is>
          <t>BALANCE TASAS</t>
        </is>
      </c>
      <c r="Z310" t="inlineStr">
        <is>
          <t>HTM</t>
        </is>
      </c>
      <c r="AA310" t="n">
        <v>1</v>
      </c>
    </row>
    <row r="311">
      <c r="A311" s="71" t="n">
        <v>45923</v>
      </c>
      <c r="B311" t="n">
        <v>1</v>
      </c>
      <c r="D311" t="inlineStr">
        <is>
          <t>PAS</t>
        </is>
      </c>
      <c r="E311" t="inlineStr">
        <is>
          <t>CLF</t>
        </is>
      </c>
      <c r="F311" t="inlineStr">
        <is>
          <t>CLF</t>
        </is>
      </c>
      <c r="H311" t="inlineStr">
        <is>
          <t>MT_R13_CTA. AHORRO</t>
        </is>
      </c>
      <c r="I311" t="inlineStr">
        <is>
          <t>MT_R13_CTA. AHORRO G.INC_CORE</t>
        </is>
      </c>
      <c r="K311" t="n">
        <v>49</v>
      </c>
      <c r="M311" s="71" t="n">
        <v>47391</v>
      </c>
      <c r="N311" s="71" t="n">
        <v>47391</v>
      </c>
      <c r="O311" s="71" t="n">
        <v>47391</v>
      </c>
      <c r="P311" t="n">
        <v>4443.513533055173</v>
      </c>
      <c r="V311" t="n">
        <v>1</v>
      </c>
      <c r="W311" t="inlineStr">
        <is>
          <t>BALANCE TASAS</t>
        </is>
      </c>
      <c r="Y311" t="inlineStr">
        <is>
          <t>BALANCE TASAS</t>
        </is>
      </c>
      <c r="Z311" t="inlineStr">
        <is>
          <t>HTM</t>
        </is>
      </c>
      <c r="AA311" t="n">
        <v>1</v>
      </c>
    </row>
    <row r="312">
      <c r="A312" s="71" t="n">
        <v>45923</v>
      </c>
      <c r="B312" t="n">
        <v>1</v>
      </c>
      <c r="D312" t="inlineStr">
        <is>
          <t>PAS</t>
        </is>
      </c>
      <c r="E312" t="inlineStr">
        <is>
          <t>CLF</t>
        </is>
      </c>
      <c r="F312" t="inlineStr">
        <is>
          <t>CLF</t>
        </is>
      </c>
      <c r="H312" t="inlineStr">
        <is>
          <t>MT_R13_CTA. AHORRO</t>
        </is>
      </c>
      <c r="I312" t="inlineStr">
        <is>
          <t>MT_R13_CTA. AHORRO G.INC_CORE</t>
        </is>
      </c>
      <c r="K312" t="n">
        <v>50</v>
      </c>
      <c r="M312" s="71" t="n">
        <v>47422</v>
      </c>
      <c r="N312" s="71" t="n">
        <v>47422</v>
      </c>
      <c r="O312" s="71" t="n">
        <v>47422</v>
      </c>
      <c r="P312" t="n">
        <v>4404.306060704685</v>
      </c>
      <c r="V312" t="n">
        <v>1</v>
      </c>
      <c r="W312" t="inlineStr">
        <is>
          <t>BALANCE TASAS</t>
        </is>
      </c>
      <c r="Y312" t="inlineStr">
        <is>
          <t>BALANCE TASAS</t>
        </is>
      </c>
      <c r="Z312" t="inlineStr">
        <is>
          <t>HTM</t>
        </is>
      </c>
      <c r="AA312" t="n">
        <v>1</v>
      </c>
    </row>
    <row r="313">
      <c r="A313" s="71" t="n">
        <v>45923</v>
      </c>
      <c r="B313" t="n">
        <v>1</v>
      </c>
      <c r="D313" t="inlineStr">
        <is>
          <t>PAS</t>
        </is>
      </c>
      <c r="E313" t="inlineStr">
        <is>
          <t>CLF</t>
        </is>
      </c>
      <c r="F313" t="inlineStr">
        <is>
          <t>CLF</t>
        </is>
      </c>
      <c r="H313" t="inlineStr">
        <is>
          <t>MT_R13_CTA. AHORRO</t>
        </is>
      </c>
      <c r="I313" t="inlineStr">
        <is>
          <t>MT_R13_CTA. AHORRO G.INC_CORE</t>
        </is>
      </c>
      <c r="K313" t="n">
        <v>51</v>
      </c>
      <c r="M313" s="71" t="n">
        <v>47452</v>
      </c>
      <c r="N313" s="71" t="n">
        <v>47452</v>
      </c>
      <c r="O313" s="71" t="n">
        <v>47452</v>
      </c>
      <c r="P313" t="n">
        <v>4365.098588354199</v>
      </c>
      <c r="V313" t="n">
        <v>1</v>
      </c>
      <c r="W313" t="inlineStr">
        <is>
          <t>BALANCE TASAS</t>
        </is>
      </c>
      <c r="Y313" t="inlineStr">
        <is>
          <t>BALANCE TASAS</t>
        </is>
      </c>
      <c r="Z313" t="inlineStr">
        <is>
          <t>HTM</t>
        </is>
      </c>
      <c r="AA313" t="n">
        <v>1</v>
      </c>
    </row>
    <row r="314">
      <c r="A314" s="71" t="n">
        <v>45923</v>
      </c>
      <c r="B314" t="n">
        <v>1</v>
      </c>
      <c r="D314" t="inlineStr">
        <is>
          <t>PAS</t>
        </is>
      </c>
      <c r="E314" t="inlineStr">
        <is>
          <t>CLF</t>
        </is>
      </c>
      <c r="F314" t="inlineStr">
        <is>
          <t>CLF</t>
        </is>
      </c>
      <c r="H314" t="inlineStr">
        <is>
          <t>MT_R13_CTA. AHORRO</t>
        </is>
      </c>
      <c r="I314" t="inlineStr">
        <is>
          <t>MT_R13_CTA. AHORRO G.INC_CORE</t>
        </is>
      </c>
      <c r="K314" t="n">
        <v>52</v>
      </c>
      <c r="M314" s="71" t="n">
        <v>47483</v>
      </c>
      <c r="N314" s="71" t="n">
        <v>47483</v>
      </c>
      <c r="O314" s="71" t="n">
        <v>47483</v>
      </c>
      <c r="P314" t="n">
        <v>4326.659889971369</v>
      </c>
      <c r="V314" t="n">
        <v>1</v>
      </c>
      <c r="W314" t="inlineStr">
        <is>
          <t>BALANCE TASAS</t>
        </is>
      </c>
      <c r="Y314" t="inlineStr">
        <is>
          <t>BALANCE TASAS</t>
        </is>
      </c>
      <c r="Z314" t="inlineStr">
        <is>
          <t>HTM</t>
        </is>
      </c>
      <c r="AA314" t="n">
        <v>1</v>
      </c>
    </row>
    <row r="315">
      <c r="A315" s="71" t="n">
        <v>45923</v>
      </c>
      <c r="B315" t="n">
        <v>1</v>
      </c>
      <c r="D315" t="inlineStr">
        <is>
          <t>PAS</t>
        </is>
      </c>
      <c r="E315" t="inlineStr">
        <is>
          <t>CLF</t>
        </is>
      </c>
      <c r="F315" t="inlineStr">
        <is>
          <t>CLF</t>
        </is>
      </c>
      <c r="H315" t="inlineStr">
        <is>
          <t>MT_R13_CTA. AHORRO</t>
        </is>
      </c>
      <c r="I315" t="inlineStr">
        <is>
          <t>MT_R13_CTA. AHORRO G.INC_CORE</t>
        </is>
      </c>
      <c r="K315" t="n">
        <v>53</v>
      </c>
      <c r="M315" s="71" t="n">
        <v>47514</v>
      </c>
      <c r="N315" s="71" t="n">
        <v>47514</v>
      </c>
      <c r="O315" s="71" t="n">
        <v>47514</v>
      </c>
      <c r="P315" t="n">
        <v>4288.221191588538</v>
      </c>
      <c r="V315" t="n">
        <v>1</v>
      </c>
      <c r="W315" t="inlineStr">
        <is>
          <t>BALANCE TASAS</t>
        </is>
      </c>
      <c r="Y315" t="inlineStr">
        <is>
          <t>BALANCE TASAS</t>
        </is>
      </c>
      <c r="Z315" t="inlineStr">
        <is>
          <t>HTM</t>
        </is>
      </c>
      <c r="AA315" t="n">
        <v>1</v>
      </c>
    </row>
    <row r="316">
      <c r="A316" s="71" t="n">
        <v>45923</v>
      </c>
      <c r="B316" t="n">
        <v>1</v>
      </c>
      <c r="D316" t="inlineStr">
        <is>
          <t>PAS</t>
        </is>
      </c>
      <c r="E316" t="inlineStr">
        <is>
          <t>CLF</t>
        </is>
      </c>
      <c r="F316" t="inlineStr">
        <is>
          <t>CLF</t>
        </is>
      </c>
      <c r="H316" t="inlineStr">
        <is>
          <t>MT_R13_CTA. AHORRO</t>
        </is>
      </c>
      <c r="I316" t="inlineStr">
        <is>
          <t>MT_R13_CTA. AHORRO G.INC_CORE</t>
        </is>
      </c>
      <c r="K316" t="n">
        <v>54</v>
      </c>
      <c r="M316" s="71" t="n">
        <v>47542</v>
      </c>
      <c r="N316" s="71" t="n">
        <v>47542</v>
      </c>
      <c r="O316" s="71" t="n">
        <v>47542</v>
      </c>
      <c r="P316" t="n">
        <v>4249.782493205708</v>
      </c>
      <c r="V316" t="n">
        <v>1</v>
      </c>
      <c r="W316" t="inlineStr">
        <is>
          <t>BALANCE TASAS</t>
        </is>
      </c>
      <c r="Y316" t="inlineStr">
        <is>
          <t>BALANCE TASAS</t>
        </is>
      </c>
      <c r="Z316" t="inlineStr">
        <is>
          <t>HTM</t>
        </is>
      </c>
      <c r="AA316" t="n">
        <v>1</v>
      </c>
    </row>
    <row r="317">
      <c r="A317" s="71" t="n">
        <v>45923</v>
      </c>
      <c r="B317" t="n">
        <v>1</v>
      </c>
      <c r="D317" t="inlineStr">
        <is>
          <t>PAS</t>
        </is>
      </c>
      <c r="E317" t="inlineStr">
        <is>
          <t>CLF</t>
        </is>
      </c>
      <c r="F317" t="inlineStr">
        <is>
          <t>CLF</t>
        </is>
      </c>
      <c r="H317" t="inlineStr">
        <is>
          <t>MT_R13_CTA. AHORRO</t>
        </is>
      </c>
      <c r="I317" t="inlineStr">
        <is>
          <t>MT_R13_CTA. AHORRO G.INC_CORE</t>
        </is>
      </c>
      <c r="K317" t="n">
        <v>55</v>
      </c>
      <c r="M317" s="71" t="n">
        <v>47573</v>
      </c>
      <c r="N317" s="71" t="n">
        <v>47573</v>
      </c>
      <c r="O317" s="71" t="n">
        <v>47573</v>
      </c>
      <c r="P317" t="n">
        <v>4212.112568790535</v>
      </c>
      <c r="V317" t="n">
        <v>1</v>
      </c>
      <c r="W317" t="inlineStr">
        <is>
          <t>BALANCE TASAS</t>
        </is>
      </c>
      <c r="Y317" t="inlineStr">
        <is>
          <t>BALANCE TASAS</t>
        </is>
      </c>
      <c r="Z317" t="inlineStr">
        <is>
          <t>HTM</t>
        </is>
      </c>
      <c r="AA317" t="n">
        <v>1</v>
      </c>
    </row>
    <row r="318">
      <c r="A318" s="71" t="n">
        <v>45923</v>
      </c>
      <c r="B318" t="n">
        <v>1</v>
      </c>
      <c r="D318" t="inlineStr">
        <is>
          <t>PAS</t>
        </is>
      </c>
      <c r="E318" t="inlineStr">
        <is>
          <t>CLF</t>
        </is>
      </c>
      <c r="F318" t="inlineStr">
        <is>
          <t>CLF</t>
        </is>
      </c>
      <c r="H318" t="inlineStr">
        <is>
          <t>MT_R13_CTA. AHORRO</t>
        </is>
      </c>
      <c r="I318" t="inlineStr">
        <is>
          <t>MT_R13_CTA. AHORRO G.INC_CORE</t>
        </is>
      </c>
      <c r="K318" t="n">
        <v>56</v>
      </c>
      <c r="M318" s="71" t="n">
        <v>47603</v>
      </c>
      <c r="N318" s="71" t="n">
        <v>47603</v>
      </c>
      <c r="O318" s="71" t="n">
        <v>47603</v>
      </c>
      <c r="P318" t="n">
        <v>4175.211418343018</v>
      </c>
      <c r="V318" t="n">
        <v>1</v>
      </c>
      <c r="W318" t="inlineStr">
        <is>
          <t>BALANCE TASAS</t>
        </is>
      </c>
      <c r="Y318" t="inlineStr">
        <is>
          <t>BALANCE TASAS</t>
        </is>
      </c>
      <c r="Z318" t="inlineStr">
        <is>
          <t>HTM</t>
        </is>
      </c>
      <c r="AA318" t="n">
        <v>1</v>
      </c>
    </row>
    <row r="319">
      <c r="A319" s="71" t="n">
        <v>45923</v>
      </c>
      <c r="B319" t="n">
        <v>1</v>
      </c>
      <c r="D319" t="inlineStr">
        <is>
          <t>PAS</t>
        </is>
      </c>
      <c r="E319" t="inlineStr">
        <is>
          <t>CLF</t>
        </is>
      </c>
      <c r="F319" t="inlineStr">
        <is>
          <t>CLF</t>
        </is>
      </c>
      <c r="H319" t="inlineStr">
        <is>
          <t>MT_R13_CTA. AHORRO</t>
        </is>
      </c>
      <c r="I319" t="inlineStr">
        <is>
          <t>MT_R13_CTA. AHORRO G.INC_CORE</t>
        </is>
      </c>
      <c r="K319" t="n">
        <v>57</v>
      </c>
      <c r="M319" s="71" t="n">
        <v>47634</v>
      </c>
      <c r="N319" s="71" t="n">
        <v>47634</v>
      </c>
      <c r="O319" s="71" t="n">
        <v>47634</v>
      </c>
      <c r="P319" t="n">
        <v>4138.3102678955</v>
      </c>
      <c r="V319" t="n">
        <v>1</v>
      </c>
      <c r="W319" t="inlineStr">
        <is>
          <t>BALANCE TASAS</t>
        </is>
      </c>
      <c r="Y319" t="inlineStr">
        <is>
          <t>BALANCE TASAS</t>
        </is>
      </c>
      <c r="Z319" t="inlineStr">
        <is>
          <t>HTM</t>
        </is>
      </c>
      <c r="AA319" t="n">
        <v>1</v>
      </c>
    </row>
    <row r="320">
      <c r="A320" s="71" t="n">
        <v>45923</v>
      </c>
      <c r="B320" t="n">
        <v>1</v>
      </c>
      <c r="D320" t="inlineStr">
        <is>
          <t>PAS</t>
        </is>
      </c>
      <c r="E320" t="inlineStr">
        <is>
          <t>CLF</t>
        </is>
      </c>
      <c r="F320" t="inlineStr">
        <is>
          <t>CLF</t>
        </is>
      </c>
      <c r="H320" t="inlineStr">
        <is>
          <t>MT_R13_CTA. AHORRO</t>
        </is>
      </c>
      <c r="I320" t="inlineStr">
        <is>
          <t>MT_R13_CTA. AHORRO G.INC_CORE</t>
        </is>
      </c>
      <c r="K320" t="n">
        <v>58</v>
      </c>
      <c r="M320" s="71" t="n">
        <v>47664</v>
      </c>
      <c r="N320" s="71" t="n">
        <v>47664</v>
      </c>
      <c r="O320" s="71" t="n">
        <v>47664</v>
      </c>
      <c r="P320" t="n">
        <v>4101.409117447984</v>
      </c>
      <c r="V320" t="n">
        <v>1</v>
      </c>
      <c r="W320" t="inlineStr">
        <is>
          <t>BALANCE TASAS</t>
        </is>
      </c>
      <c r="Y320" t="inlineStr">
        <is>
          <t>BALANCE TASAS</t>
        </is>
      </c>
      <c r="Z320" t="inlineStr">
        <is>
          <t>HTM</t>
        </is>
      </c>
      <c r="AA320" t="n">
        <v>1</v>
      </c>
    </row>
    <row r="321">
      <c r="A321" s="71" t="n">
        <v>45923</v>
      </c>
      <c r="B321" t="n">
        <v>1</v>
      </c>
      <c r="D321" t="inlineStr">
        <is>
          <t>PAS</t>
        </is>
      </c>
      <c r="E321" t="inlineStr">
        <is>
          <t>CLF</t>
        </is>
      </c>
      <c r="F321" t="inlineStr">
        <is>
          <t>CLF</t>
        </is>
      </c>
      <c r="H321" t="inlineStr">
        <is>
          <t>MT_R13_CTA. AHORRO</t>
        </is>
      </c>
      <c r="I321" t="inlineStr">
        <is>
          <t>MT_R13_CTA. AHORRO G.INC_CORE</t>
        </is>
      </c>
      <c r="K321" t="n">
        <v>59</v>
      </c>
      <c r="M321" s="71" t="n">
        <v>47695</v>
      </c>
      <c r="N321" s="71" t="n">
        <v>47695</v>
      </c>
      <c r="O321" s="71" t="n">
        <v>47695</v>
      </c>
      <c r="P321" t="n">
        <v>4065.276740968123</v>
      </c>
      <c r="V321" t="n">
        <v>1</v>
      </c>
      <c r="W321" t="inlineStr">
        <is>
          <t>BALANCE TASAS</t>
        </is>
      </c>
      <c r="Y321" t="inlineStr">
        <is>
          <t>BALANCE TASAS</t>
        </is>
      </c>
      <c r="Z321" t="inlineStr">
        <is>
          <t>HTM</t>
        </is>
      </c>
      <c r="AA321" t="n">
        <v>1</v>
      </c>
    </row>
    <row r="322">
      <c r="A322" s="71" t="n">
        <v>45923</v>
      </c>
      <c r="B322" t="n">
        <v>1</v>
      </c>
      <c r="D322" t="inlineStr">
        <is>
          <t>PAS</t>
        </is>
      </c>
      <c r="E322" t="inlineStr">
        <is>
          <t>CLF</t>
        </is>
      </c>
      <c r="F322" t="inlineStr">
        <is>
          <t>CLF</t>
        </is>
      </c>
      <c r="H322" t="inlineStr">
        <is>
          <t>MT_R13_CTA. AHORRO</t>
        </is>
      </c>
      <c r="I322" t="inlineStr">
        <is>
          <t>MT_R13_CTA. AHORRO G.INC_CORE</t>
        </is>
      </c>
      <c r="K322" t="n">
        <v>60</v>
      </c>
      <c r="M322" s="71" t="n">
        <v>47726</v>
      </c>
      <c r="N322" s="71" t="n">
        <v>47726</v>
      </c>
      <c r="O322" s="71" t="n">
        <v>47726</v>
      </c>
      <c r="P322" t="n">
        <v>4029.144364488263</v>
      </c>
      <c r="V322" t="n">
        <v>1</v>
      </c>
      <c r="W322" t="inlineStr">
        <is>
          <t>BALANCE TASAS</t>
        </is>
      </c>
      <c r="Y322" t="inlineStr">
        <is>
          <t>BALANCE TASAS</t>
        </is>
      </c>
      <c r="Z322" t="inlineStr">
        <is>
          <t>HTM</t>
        </is>
      </c>
      <c r="AA322" t="n">
        <v>1</v>
      </c>
    </row>
    <row r="323">
      <c r="A323" s="71" t="n">
        <v>45923</v>
      </c>
      <c r="B323" t="n">
        <v>1</v>
      </c>
      <c r="D323" t="inlineStr">
        <is>
          <t>PAS</t>
        </is>
      </c>
      <c r="E323" t="inlineStr">
        <is>
          <t>CLF</t>
        </is>
      </c>
      <c r="F323" t="inlineStr">
        <is>
          <t>CLF</t>
        </is>
      </c>
      <c r="H323" t="inlineStr">
        <is>
          <t>MT_R13_CTA. AHORRO</t>
        </is>
      </c>
      <c r="I323" t="inlineStr">
        <is>
          <t>MT_R13_CTA. AHORRO G.INC_CORE</t>
        </is>
      </c>
      <c r="K323" t="n">
        <v>61</v>
      </c>
      <c r="M323" s="71" t="n">
        <v>47756</v>
      </c>
      <c r="N323" s="71" t="n">
        <v>47756</v>
      </c>
      <c r="O323" s="71" t="n">
        <v>47756</v>
      </c>
      <c r="P323" t="n">
        <v>3993.780761976059</v>
      </c>
      <c r="V323" t="n">
        <v>1</v>
      </c>
      <c r="W323" t="inlineStr">
        <is>
          <t>BALANCE TASAS</t>
        </is>
      </c>
      <c r="Y323" t="inlineStr">
        <is>
          <t>BALANCE TASAS</t>
        </is>
      </c>
      <c r="Z323" t="inlineStr">
        <is>
          <t>HTM</t>
        </is>
      </c>
      <c r="AA323" t="n">
        <v>1</v>
      </c>
    </row>
    <row r="324">
      <c r="A324" s="71" t="n">
        <v>45923</v>
      </c>
      <c r="B324" t="n">
        <v>1</v>
      </c>
      <c r="D324" t="inlineStr">
        <is>
          <t>PAS</t>
        </is>
      </c>
      <c r="E324" t="inlineStr">
        <is>
          <t>CLF</t>
        </is>
      </c>
      <c r="F324" t="inlineStr">
        <is>
          <t>CLF</t>
        </is>
      </c>
      <c r="H324" t="inlineStr">
        <is>
          <t>MT_R13_CTA. AHORRO</t>
        </is>
      </c>
      <c r="I324" t="inlineStr">
        <is>
          <t>MT_R13_CTA. AHORRO G.INC_CORE</t>
        </is>
      </c>
      <c r="K324" t="n">
        <v>62</v>
      </c>
      <c r="M324" s="71" t="n">
        <v>47787</v>
      </c>
      <c r="N324" s="71" t="n">
        <v>47787</v>
      </c>
      <c r="O324" s="71" t="n">
        <v>47787</v>
      </c>
      <c r="P324" t="n">
        <v>3957.648385496198</v>
      </c>
      <c r="V324" t="n">
        <v>1</v>
      </c>
      <c r="W324" t="inlineStr">
        <is>
          <t>BALANCE TASAS</t>
        </is>
      </c>
      <c r="Y324" t="inlineStr">
        <is>
          <t>BALANCE TASAS</t>
        </is>
      </c>
      <c r="Z324" t="inlineStr">
        <is>
          <t>HTM</t>
        </is>
      </c>
      <c r="AA324" t="n">
        <v>1</v>
      </c>
    </row>
    <row r="325">
      <c r="A325" s="71" t="n">
        <v>45923</v>
      </c>
      <c r="B325" t="n">
        <v>1</v>
      </c>
      <c r="D325" t="inlineStr">
        <is>
          <t>PAS</t>
        </is>
      </c>
      <c r="E325" t="inlineStr">
        <is>
          <t>CLF</t>
        </is>
      </c>
      <c r="F325" t="inlineStr">
        <is>
          <t>CLF</t>
        </is>
      </c>
      <c r="H325" t="inlineStr">
        <is>
          <t>MT_R13_CTA. AHORRO</t>
        </is>
      </c>
      <c r="I325" t="inlineStr">
        <is>
          <t>MT_R13_CTA. AHORRO G.INC_CORE</t>
        </is>
      </c>
      <c r="K325" t="n">
        <v>63</v>
      </c>
      <c r="M325" s="71" t="n">
        <v>47817</v>
      </c>
      <c r="N325" s="71" t="n">
        <v>47817</v>
      </c>
      <c r="O325" s="71" t="n">
        <v>47817</v>
      </c>
      <c r="P325" t="n">
        <v>3923.053556951651</v>
      </c>
      <c r="V325" t="n">
        <v>1</v>
      </c>
      <c r="W325" t="inlineStr">
        <is>
          <t>BALANCE TASAS</t>
        </is>
      </c>
      <c r="Y325" t="inlineStr">
        <is>
          <t>BALANCE TASAS</t>
        </is>
      </c>
      <c r="Z325" t="inlineStr">
        <is>
          <t>HTM</t>
        </is>
      </c>
      <c r="AA325" t="n">
        <v>1</v>
      </c>
    </row>
    <row r="326">
      <c r="A326" s="71" t="n">
        <v>45923</v>
      </c>
      <c r="B326" t="n">
        <v>1</v>
      </c>
      <c r="D326" t="inlineStr">
        <is>
          <t>PAS</t>
        </is>
      </c>
      <c r="E326" t="inlineStr">
        <is>
          <t>CLF</t>
        </is>
      </c>
      <c r="F326" t="inlineStr">
        <is>
          <t>CLF</t>
        </is>
      </c>
      <c r="H326" t="inlineStr">
        <is>
          <t>MT_R13_CTA. AHORRO</t>
        </is>
      </c>
      <c r="I326" t="inlineStr">
        <is>
          <t>MT_R13_CTA. AHORRO G.INC_CORE</t>
        </is>
      </c>
      <c r="K326" t="n">
        <v>64</v>
      </c>
      <c r="M326" s="71" t="n">
        <v>47848</v>
      </c>
      <c r="N326" s="71" t="n">
        <v>47848</v>
      </c>
      <c r="O326" s="71" t="n">
        <v>47848</v>
      </c>
      <c r="P326" t="n">
        <v>3888.458728407104</v>
      </c>
      <c r="V326" t="n">
        <v>1</v>
      </c>
      <c r="W326" t="inlineStr">
        <is>
          <t>BALANCE TASAS</t>
        </is>
      </c>
      <c r="Y326" t="inlineStr">
        <is>
          <t>BALANCE TASAS</t>
        </is>
      </c>
      <c r="Z326" t="inlineStr">
        <is>
          <t>HTM</t>
        </is>
      </c>
      <c r="AA326" t="n">
        <v>1</v>
      </c>
    </row>
    <row r="327">
      <c r="A327" s="71" t="n">
        <v>45923</v>
      </c>
      <c r="B327" t="n">
        <v>1</v>
      </c>
      <c r="D327" t="inlineStr">
        <is>
          <t>PAS</t>
        </is>
      </c>
      <c r="E327" t="inlineStr">
        <is>
          <t>CLF</t>
        </is>
      </c>
      <c r="F327" t="inlineStr">
        <is>
          <t>CLF</t>
        </is>
      </c>
      <c r="H327" t="inlineStr">
        <is>
          <t>MT_R13_CTA. AHORRO</t>
        </is>
      </c>
      <c r="I327" t="inlineStr">
        <is>
          <t>MT_R13_CTA. AHORRO G.INC_CORE</t>
        </is>
      </c>
      <c r="K327" t="n">
        <v>65</v>
      </c>
      <c r="M327" s="71" t="n">
        <v>47879</v>
      </c>
      <c r="N327" s="71" t="n">
        <v>47879</v>
      </c>
      <c r="O327" s="71" t="n">
        <v>47879</v>
      </c>
      <c r="P327" t="n">
        <v>3853.863899862557</v>
      </c>
      <c r="V327" t="n">
        <v>1</v>
      </c>
      <c r="W327" t="inlineStr">
        <is>
          <t>BALANCE TASAS</t>
        </is>
      </c>
      <c r="Y327" t="inlineStr">
        <is>
          <t>BALANCE TASAS</t>
        </is>
      </c>
      <c r="Z327" t="inlineStr">
        <is>
          <t>HTM</t>
        </is>
      </c>
      <c r="AA327" t="n">
        <v>1</v>
      </c>
    </row>
    <row r="328">
      <c r="A328" s="71" t="n">
        <v>45923</v>
      </c>
      <c r="B328" t="n">
        <v>1</v>
      </c>
      <c r="D328" t="inlineStr">
        <is>
          <t>PAS</t>
        </is>
      </c>
      <c r="E328" t="inlineStr">
        <is>
          <t>CLF</t>
        </is>
      </c>
      <c r="F328" t="inlineStr">
        <is>
          <t>CLF</t>
        </is>
      </c>
      <c r="H328" t="inlineStr">
        <is>
          <t>MT_R13_CTA. AHORRO</t>
        </is>
      </c>
      <c r="I328" t="inlineStr">
        <is>
          <t>MT_R13_CTA. AHORRO G.INC_CORE</t>
        </is>
      </c>
      <c r="K328" t="n">
        <v>66</v>
      </c>
      <c r="M328" s="71" t="n">
        <v>47907</v>
      </c>
      <c r="N328" s="71" t="n">
        <v>47907</v>
      </c>
      <c r="O328" s="71" t="n">
        <v>47907</v>
      </c>
      <c r="P328" t="n">
        <v>3819.26907131801</v>
      </c>
      <c r="V328" t="n">
        <v>1</v>
      </c>
      <c r="W328" t="inlineStr">
        <is>
          <t>BALANCE TASAS</t>
        </is>
      </c>
      <c r="Y328" t="inlineStr">
        <is>
          <t>BALANCE TASAS</t>
        </is>
      </c>
      <c r="Z328" t="inlineStr">
        <is>
          <t>HTM</t>
        </is>
      </c>
      <c r="AA328" t="n">
        <v>1</v>
      </c>
    </row>
    <row r="329">
      <c r="A329" s="71" t="n">
        <v>45923</v>
      </c>
      <c r="B329" t="n">
        <v>1</v>
      </c>
      <c r="D329" t="inlineStr">
        <is>
          <t>PAS</t>
        </is>
      </c>
      <c r="E329" t="inlineStr">
        <is>
          <t>CLF</t>
        </is>
      </c>
      <c r="F329" t="inlineStr">
        <is>
          <t>CLF</t>
        </is>
      </c>
      <c r="H329" t="inlineStr">
        <is>
          <t>MT_R13_CTA. AHORRO</t>
        </is>
      </c>
      <c r="I329" t="inlineStr">
        <is>
          <t>MT_R13_CTA. AHORRO G.INC_CORE</t>
        </is>
      </c>
      <c r="K329" t="n">
        <v>67</v>
      </c>
      <c r="M329" s="71" t="n">
        <v>47938</v>
      </c>
      <c r="N329" s="71" t="n">
        <v>47938</v>
      </c>
      <c r="O329" s="71" t="n">
        <v>47938</v>
      </c>
      <c r="P329" t="n">
        <v>3785.44301674112</v>
      </c>
      <c r="V329" t="n">
        <v>1</v>
      </c>
      <c r="W329" t="inlineStr">
        <is>
          <t>BALANCE TASAS</t>
        </is>
      </c>
      <c r="Y329" t="inlineStr">
        <is>
          <t>BALANCE TASAS</t>
        </is>
      </c>
      <c r="Z329" t="inlineStr">
        <is>
          <t>HTM</t>
        </is>
      </c>
      <c r="AA329" t="n">
        <v>1</v>
      </c>
    </row>
    <row r="330">
      <c r="A330" s="71" t="n">
        <v>45923</v>
      </c>
      <c r="B330" t="n">
        <v>1</v>
      </c>
      <c r="D330" t="inlineStr">
        <is>
          <t>PAS</t>
        </is>
      </c>
      <c r="E330" t="inlineStr">
        <is>
          <t>CLF</t>
        </is>
      </c>
      <c r="F330" t="inlineStr">
        <is>
          <t>CLF</t>
        </is>
      </c>
      <c r="H330" t="inlineStr">
        <is>
          <t>MT_R13_CTA. AHORRO</t>
        </is>
      </c>
      <c r="I330" t="inlineStr">
        <is>
          <t>MT_R13_CTA. AHORRO G.INC_CORE</t>
        </is>
      </c>
      <c r="K330" t="n">
        <v>68</v>
      </c>
      <c r="M330" s="71" t="n">
        <v>47968</v>
      </c>
      <c r="N330" s="71" t="n">
        <v>47968</v>
      </c>
      <c r="O330" s="71" t="n">
        <v>47968</v>
      </c>
      <c r="P330" t="n">
        <v>3752.385736131885</v>
      </c>
      <c r="V330" t="n">
        <v>1</v>
      </c>
      <c r="W330" t="inlineStr">
        <is>
          <t>BALANCE TASAS</t>
        </is>
      </c>
      <c r="Y330" t="inlineStr">
        <is>
          <t>BALANCE TASAS</t>
        </is>
      </c>
      <c r="Z330" t="inlineStr">
        <is>
          <t>HTM</t>
        </is>
      </c>
      <c r="AA330" t="n">
        <v>1</v>
      </c>
    </row>
    <row r="331">
      <c r="A331" s="71" t="n">
        <v>45923</v>
      </c>
      <c r="B331" t="n">
        <v>1</v>
      </c>
      <c r="D331" t="inlineStr">
        <is>
          <t>PAS</t>
        </is>
      </c>
      <c r="E331" t="inlineStr">
        <is>
          <t>CLF</t>
        </is>
      </c>
      <c r="F331" t="inlineStr">
        <is>
          <t>CLF</t>
        </is>
      </c>
      <c r="H331" t="inlineStr">
        <is>
          <t>MT_R13_CTA. AHORRO</t>
        </is>
      </c>
      <c r="I331" t="inlineStr">
        <is>
          <t>MT_R13_CTA. AHORRO G.INC_CORE</t>
        </is>
      </c>
      <c r="K331" t="n">
        <v>69</v>
      </c>
      <c r="M331" s="71" t="n">
        <v>47999</v>
      </c>
      <c r="N331" s="71" t="n">
        <v>47999</v>
      </c>
      <c r="O331" s="71" t="n">
        <v>47999</v>
      </c>
      <c r="P331" t="n">
        <v>3719.328455522651</v>
      </c>
      <c r="V331" t="n">
        <v>1</v>
      </c>
      <c r="W331" t="inlineStr">
        <is>
          <t>BALANCE TASAS</t>
        </is>
      </c>
      <c r="Y331" t="inlineStr">
        <is>
          <t>BALANCE TASAS</t>
        </is>
      </c>
      <c r="Z331" t="inlineStr">
        <is>
          <t>HTM</t>
        </is>
      </c>
      <c r="AA331" t="n">
        <v>1</v>
      </c>
    </row>
    <row r="332">
      <c r="A332" s="71" t="n">
        <v>45923</v>
      </c>
      <c r="B332" t="n">
        <v>1</v>
      </c>
      <c r="D332" t="inlineStr">
        <is>
          <t>PAS</t>
        </is>
      </c>
      <c r="E332" t="inlineStr">
        <is>
          <t>CLF</t>
        </is>
      </c>
      <c r="F332" t="inlineStr">
        <is>
          <t>CLF</t>
        </is>
      </c>
      <c r="H332" t="inlineStr">
        <is>
          <t>MT_R13_CTA. AHORRO</t>
        </is>
      </c>
      <c r="I332" t="inlineStr">
        <is>
          <t>MT_R13_CTA. AHORRO G.INC_CORE</t>
        </is>
      </c>
      <c r="K332" t="n">
        <v>70</v>
      </c>
      <c r="M332" s="71" t="n">
        <v>48029</v>
      </c>
      <c r="N332" s="71" t="n">
        <v>48029</v>
      </c>
      <c r="O332" s="71" t="n">
        <v>48029</v>
      </c>
      <c r="P332" t="n">
        <v>416005.119570083</v>
      </c>
      <c r="V332" t="n">
        <v>1</v>
      </c>
      <c r="W332" t="inlineStr">
        <is>
          <t>BALANCE TASAS</t>
        </is>
      </c>
      <c r="Y332" t="inlineStr">
        <is>
          <t>BALANCE TASAS</t>
        </is>
      </c>
      <c r="Z332" t="inlineStr">
        <is>
          <t>HTM</t>
        </is>
      </c>
      <c r="AA332" t="n">
        <v>1</v>
      </c>
    </row>
    <row r="333">
      <c r="A333" s="71" t="n">
        <v>45923</v>
      </c>
      <c r="B333" t="n">
        <v>1</v>
      </c>
      <c r="D333" t="inlineStr">
        <is>
          <t>PAS</t>
        </is>
      </c>
      <c r="E333" t="inlineStr">
        <is>
          <t>CLF</t>
        </is>
      </c>
      <c r="F333" t="inlineStr">
        <is>
          <t>CLF</t>
        </is>
      </c>
      <c r="H333" t="inlineStr">
        <is>
          <t>MT_R13_CTA. AHORRO G.INC_CORE</t>
        </is>
      </c>
      <c r="I333" t="inlineStr">
        <is>
          <t>MT_R13_CTA. AHORRO G.INC_CORE</t>
        </is>
      </c>
      <c r="M333" s="71" t="n">
        <v>45924</v>
      </c>
      <c r="N333" s="71" t="n">
        <v>45924</v>
      </c>
      <c r="O333" s="71" t="n">
        <v>45924</v>
      </c>
      <c r="P333" t="n">
        <v>768773.9676566042</v>
      </c>
      <c r="V333" t="n">
        <v>1</v>
      </c>
      <c r="W333" t="inlineStr">
        <is>
          <t>BALANCE TASAS</t>
        </is>
      </c>
      <c r="Y333" t="inlineStr">
        <is>
          <t>BALANCE TASAS</t>
        </is>
      </c>
      <c r="Z333" t="inlineStr">
        <is>
          <t>HTM</t>
        </is>
      </c>
      <c r="AA333" t="n">
        <v>1</v>
      </c>
    </row>
    <row r="334">
      <c r="A334" s="71" t="n">
        <v>45923</v>
      </c>
      <c r="B334" t="n">
        <v>1</v>
      </c>
      <c r="D334" t="inlineStr">
        <is>
          <t>PAS</t>
        </is>
      </c>
      <c r="E334" t="inlineStr">
        <is>
          <t>CLF</t>
        </is>
      </c>
      <c r="F334" t="inlineStr">
        <is>
          <t>CLF</t>
        </is>
      </c>
      <c r="H334" t="inlineStr">
        <is>
          <t>MT_R13_CTA. AHORRO</t>
        </is>
      </c>
      <c r="I334" t="inlineStr">
        <is>
          <t>MT_R13_CTA. AHORRO G.INC_NONCORE</t>
        </is>
      </c>
      <c r="M334" s="71" t="n">
        <v>45924</v>
      </c>
      <c r="N334" s="71" t="n">
        <v>45924</v>
      </c>
      <c r="O334" s="71" t="n">
        <v>45924</v>
      </c>
      <c r="P334" t="n">
        <v>329474.5575671161</v>
      </c>
      <c r="V334" t="n">
        <v>1</v>
      </c>
      <c r="W334" t="inlineStr">
        <is>
          <t>BALANCE TASAS</t>
        </is>
      </c>
      <c r="Y334" t="inlineStr">
        <is>
          <t>BALANCE TASAS</t>
        </is>
      </c>
      <c r="Z334" t="inlineStr">
        <is>
          <t>HTM</t>
        </is>
      </c>
      <c r="AA334" t="n">
        <v>1</v>
      </c>
    </row>
    <row r="335">
      <c r="A335" s="71" t="n">
        <v>45923</v>
      </c>
      <c r="B335" t="n">
        <v>1</v>
      </c>
      <c r="D335" t="inlineStr">
        <is>
          <t>PAS</t>
        </is>
      </c>
      <c r="E335" t="inlineStr">
        <is>
          <t>CLF</t>
        </is>
      </c>
      <c r="F335" t="inlineStr">
        <is>
          <t>CLF</t>
        </is>
      </c>
      <c r="H335" t="inlineStr">
        <is>
          <t>MT_R13_CTA. AHORRO G.INC_NONCORE</t>
        </is>
      </c>
      <c r="I335" t="inlineStr">
        <is>
          <t>MT_R13_CTA. AHORRO G.INC_NONCORE</t>
        </is>
      </c>
      <c r="M335" s="71" t="n">
        <v>45924</v>
      </c>
      <c r="N335" s="71" t="n">
        <v>45924</v>
      </c>
      <c r="O335" s="71" t="n">
        <v>45924</v>
      </c>
      <c r="P335" t="n">
        <v>329474.5575671161</v>
      </c>
      <c r="V335" t="n">
        <v>1</v>
      </c>
      <c r="W335" t="inlineStr">
        <is>
          <t>BALANCE TASAS</t>
        </is>
      </c>
      <c r="Y335" t="inlineStr">
        <is>
          <t>BALANCE TASAS</t>
        </is>
      </c>
      <c r="Z335" t="inlineStr">
        <is>
          <t>HTM</t>
        </is>
      </c>
      <c r="AA335" t="n">
        <v>1</v>
      </c>
    </row>
    <row r="336">
      <c r="A336" s="71" t="n">
        <v>45923</v>
      </c>
      <c r="B336" t="n">
        <v>1</v>
      </c>
      <c r="D336" t="inlineStr">
        <is>
          <t>PAS</t>
        </is>
      </c>
      <c r="E336" t="inlineStr">
        <is>
          <t>CLP</t>
        </is>
      </c>
      <c r="F336" t="inlineStr">
        <is>
          <t>CLP</t>
        </is>
      </c>
      <c r="H336" t="inlineStr">
        <is>
          <t>MT_CTA. CORRIENTE</t>
        </is>
      </c>
      <c r="I336" t="inlineStr">
        <is>
          <t>CTA. CORRIENTE PERSONAS_CORE_CORE</t>
        </is>
      </c>
      <c r="K336" t="n">
        <v>1</v>
      </c>
      <c r="M336" s="71" t="n">
        <v>45930</v>
      </c>
      <c r="N336" s="71" t="n">
        <v>45930</v>
      </c>
      <c r="O336" s="71" t="n">
        <v>45930</v>
      </c>
      <c r="P336" t="n">
        <v>34755623249.29972</v>
      </c>
      <c r="V336" t="n">
        <v>1</v>
      </c>
      <c r="W336" t="inlineStr">
        <is>
          <t>BALANCE TASAS</t>
        </is>
      </c>
      <c r="Y336" t="inlineStr">
        <is>
          <t>BALANCE TASAS</t>
        </is>
      </c>
      <c r="Z336" t="inlineStr">
        <is>
          <t>HTM</t>
        </is>
      </c>
      <c r="AA336" t="n">
        <v>1</v>
      </c>
    </row>
    <row r="337">
      <c r="A337" s="71" t="n">
        <v>45923</v>
      </c>
      <c r="B337" t="n">
        <v>1</v>
      </c>
      <c r="D337" t="inlineStr">
        <is>
          <t>PAS</t>
        </is>
      </c>
      <c r="E337" t="inlineStr">
        <is>
          <t>CLP</t>
        </is>
      </c>
      <c r="F337" t="inlineStr">
        <is>
          <t>CLP</t>
        </is>
      </c>
      <c r="H337" t="inlineStr">
        <is>
          <t>MT_CTA. CORRIENTE</t>
        </is>
      </c>
      <c r="I337" t="inlineStr">
        <is>
          <t>CTA. CORRIENTE PERSONAS_CORE_CORE</t>
        </is>
      </c>
      <c r="K337" t="n">
        <v>2</v>
      </c>
      <c r="M337" s="71" t="n">
        <v>45961</v>
      </c>
      <c r="N337" s="71" t="n">
        <v>45961</v>
      </c>
      <c r="O337" s="71" t="n">
        <v>45961</v>
      </c>
      <c r="P337" t="n">
        <v>34755623249.29972</v>
      </c>
      <c r="V337" t="n">
        <v>1</v>
      </c>
      <c r="W337" t="inlineStr">
        <is>
          <t>BALANCE TASAS</t>
        </is>
      </c>
      <c r="Y337" t="inlineStr">
        <is>
          <t>BALANCE TASAS</t>
        </is>
      </c>
      <c r="Z337" t="inlineStr">
        <is>
          <t>HTM</t>
        </is>
      </c>
      <c r="AA337" t="n">
        <v>1</v>
      </c>
    </row>
    <row r="338">
      <c r="A338" s="71" t="n">
        <v>45923</v>
      </c>
      <c r="B338" t="n">
        <v>1</v>
      </c>
      <c r="D338" t="inlineStr">
        <is>
          <t>PAS</t>
        </is>
      </c>
      <c r="E338" t="inlineStr">
        <is>
          <t>CLP</t>
        </is>
      </c>
      <c r="F338" t="inlineStr">
        <is>
          <t>CLP</t>
        </is>
      </c>
      <c r="H338" t="inlineStr">
        <is>
          <t>MT_CTA. CORRIENTE</t>
        </is>
      </c>
      <c r="I338" t="inlineStr">
        <is>
          <t>CTA. CORRIENTE PERSONAS_CORE_CORE</t>
        </is>
      </c>
      <c r="K338" t="n">
        <v>3</v>
      </c>
      <c r="M338" s="71" t="n">
        <v>45991</v>
      </c>
      <c r="N338" s="71" t="n">
        <v>45991</v>
      </c>
      <c r="O338" s="71" t="n">
        <v>45991</v>
      </c>
      <c r="P338" t="n">
        <v>34755623249.29972</v>
      </c>
      <c r="V338" t="n">
        <v>1</v>
      </c>
      <c r="W338" t="inlineStr">
        <is>
          <t>BALANCE TASAS</t>
        </is>
      </c>
      <c r="Y338" t="inlineStr">
        <is>
          <t>BALANCE TASAS</t>
        </is>
      </c>
      <c r="Z338" t="inlineStr">
        <is>
          <t>HTM</t>
        </is>
      </c>
      <c r="AA338" t="n">
        <v>1</v>
      </c>
    </row>
    <row r="339">
      <c r="A339" s="71" t="n">
        <v>45923</v>
      </c>
      <c r="B339" t="n">
        <v>1</v>
      </c>
      <c r="D339" t="inlineStr">
        <is>
          <t>PAS</t>
        </is>
      </c>
      <c r="E339" t="inlineStr">
        <is>
          <t>CLP</t>
        </is>
      </c>
      <c r="F339" t="inlineStr">
        <is>
          <t>CLP</t>
        </is>
      </c>
      <c r="H339" t="inlineStr">
        <is>
          <t>MT_CTA. CORRIENTE</t>
        </is>
      </c>
      <c r="I339" t="inlineStr">
        <is>
          <t>CTA. CORRIENTE PERSONAS_CORE_CORE</t>
        </is>
      </c>
      <c r="K339" t="n">
        <v>4</v>
      </c>
      <c r="M339" s="71" t="n">
        <v>46022</v>
      </c>
      <c r="N339" s="71" t="n">
        <v>46022</v>
      </c>
      <c r="O339" s="71" t="n">
        <v>46022</v>
      </c>
      <c r="P339" t="n">
        <v>34755623249.29972</v>
      </c>
      <c r="V339" t="n">
        <v>1</v>
      </c>
      <c r="W339" t="inlineStr">
        <is>
          <t>BALANCE TASAS</t>
        </is>
      </c>
      <c r="Y339" t="inlineStr">
        <is>
          <t>BALANCE TASAS</t>
        </is>
      </c>
      <c r="Z339" t="inlineStr">
        <is>
          <t>HTM</t>
        </is>
      </c>
      <c r="AA339" t="n">
        <v>1</v>
      </c>
    </row>
    <row r="340">
      <c r="A340" s="71" t="n">
        <v>45923</v>
      </c>
      <c r="B340" t="n">
        <v>1</v>
      </c>
      <c r="D340" t="inlineStr">
        <is>
          <t>PAS</t>
        </is>
      </c>
      <c r="E340" t="inlineStr">
        <is>
          <t>CLP</t>
        </is>
      </c>
      <c r="F340" t="inlineStr">
        <is>
          <t>CLP</t>
        </is>
      </c>
      <c r="H340" t="inlineStr">
        <is>
          <t>MT_CTA. CORRIENTE</t>
        </is>
      </c>
      <c r="I340" t="inlineStr">
        <is>
          <t>CTA. CORRIENTE PERSONAS_CORE_CORE</t>
        </is>
      </c>
      <c r="K340" t="n">
        <v>5</v>
      </c>
      <c r="M340" s="71" t="n">
        <v>46053</v>
      </c>
      <c r="N340" s="71" t="n">
        <v>46053</v>
      </c>
      <c r="O340" s="71" t="n">
        <v>46053</v>
      </c>
      <c r="P340" t="n">
        <v>34755623249.29972</v>
      </c>
      <c r="V340" t="n">
        <v>1</v>
      </c>
      <c r="W340" t="inlineStr">
        <is>
          <t>BALANCE TASAS</t>
        </is>
      </c>
      <c r="Y340" t="inlineStr">
        <is>
          <t>BALANCE TASAS</t>
        </is>
      </c>
      <c r="Z340" t="inlineStr">
        <is>
          <t>HTM</t>
        </is>
      </c>
      <c r="AA340" t="n">
        <v>1</v>
      </c>
    </row>
    <row r="341">
      <c r="A341" s="71" t="n">
        <v>45923</v>
      </c>
      <c r="B341" t="n">
        <v>1</v>
      </c>
      <c r="D341" t="inlineStr">
        <is>
          <t>PAS</t>
        </is>
      </c>
      <c r="E341" t="inlineStr">
        <is>
          <t>CLP</t>
        </is>
      </c>
      <c r="F341" t="inlineStr">
        <is>
          <t>CLP</t>
        </is>
      </c>
      <c r="H341" t="inlineStr">
        <is>
          <t>MT_CTA. CORRIENTE</t>
        </is>
      </c>
      <c r="I341" t="inlineStr">
        <is>
          <t>CTA. CORRIENTE PERSONAS_CORE_CORE</t>
        </is>
      </c>
      <c r="K341" t="n">
        <v>6</v>
      </c>
      <c r="M341" s="71" t="n">
        <v>46081</v>
      </c>
      <c r="N341" s="71" t="n">
        <v>46081</v>
      </c>
      <c r="O341" s="71" t="n">
        <v>46081</v>
      </c>
      <c r="P341" t="n">
        <v>34755623249.29972</v>
      </c>
      <c r="V341" t="n">
        <v>1</v>
      </c>
      <c r="W341" t="inlineStr">
        <is>
          <t>BALANCE TASAS</t>
        </is>
      </c>
      <c r="Y341" t="inlineStr">
        <is>
          <t>BALANCE TASAS</t>
        </is>
      </c>
      <c r="Z341" t="inlineStr">
        <is>
          <t>HTM</t>
        </is>
      </c>
      <c r="AA341" t="n">
        <v>1</v>
      </c>
    </row>
    <row r="342">
      <c r="A342" s="71" t="n">
        <v>45923</v>
      </c>
      <c r="B342" t="n">
        <v>1</v>
      </c>
      <c r="D342" t="inlineStr">
        <is>
          <t>PAS</t>
        </is>
      </c>
      <c r="E342" t="inlineStr">
        <is>
          <t>CLP</t>
        </is>
      </c>
      <c r="F342" t="inlineStr">
        <is>
          <t>CLP</t>
        </is>
      </c>
      <c r="H342" t="inlineStr">
        <is>
          <t>MT_CTA. CORRIENTE</t>
        </is>
      </c>
      <c r="I342" t="inlineStr">
        <is>
          <t>CTA. CORRIENTE PERSONAS_CORE_CORE</t>
        </is>
      </c>
      <c r="K342" t="n">
        <v>7</v>
      </c>
      <c r="M342" s="71" t="n">
        <v>46112</v>
      </c>
      <c r="N342" s="71" t="n">
        <v>46112</v>
      </c>
      <c r="O342" s="71" t="n">
        <v>46112</v>
      </c>
      <c r="P342" t="n">
        <v>34755623249.29972</v>
      </c>
      <c r="V342" t="n">
        <v>1</v>
      </c>
      <c r="W342" t="inlineStr">
        <is>
          <t>BALANCE TASAS</t>
        </is>
      </c>
      <c r="Y342" t="inlineStr">
        <is>
          <t>BALANCE TASAS</t>
        </is>
      </c>
      <c r="Z342" t="inlineStr">
        <is>
          <t>HTM</t>
        </is>
      </c>
      <c r="AA342" t="n">
        <v>1</v>
      </c>
    </row>
    <row r="343">
      <c r="A343" s="71" t="n">
        <v>45923</v>
      </c>
      <c r="B343" t="n">
        <v>1</v>
      </c>
      <c r="D343" t="inlineStr">
        <is>
          <t>PAS</t>
        </is>
      </c>
      <c r="E343" t="inlineStr">
        <is>
          <t>CLP</t>
        </is>
      </c>
      <c r="F343" t="inlineStr">
        <is>
          <t>CLP</t>
        </is>
      </c>
      <c r="H343" t="inlineStr">
        <is>
          <t>MT_CTA. CORRIENTE</t>
        </is>
      </c>
      <c r="I343" t="inlineStr">
        <is>
          <t>CTA. CORRIENTE PERSONAS_CORE_CORE</t>
        </is>
      </c>
      <c r="K343" t="n">
        <v>8</v>
      </c>
      <c r="M343" s="71" t="n">
        <v>46142</v>
      </c>
      <c r="N343" s="71" t="n">
        <v>46142</v>
      </c>
      <c r="O343" s="71" t="n">
        <v>46142</v>
      </c>
      <c r="P343" t="n">
        <v>34755623249.29972</v>
      </c>
      <c r="V343" t="n">
        <v>1</v>
      </c>
      <c r="W343" t="inlineStr">
        <is>
          <t>BALANCE TASAS</t>
        </is>
      </c>
      <c r="Y343" t="inlineStr">
        <is>
          <t>BALANCE TASAS</t>
        </is>
      </c>
      <c r="Z343" t="inlineStr">
        <is>
          <t>HTM</t>
        </is>
      </c>
      <c r="AA343" t="n">
        <v>1</v>
      </c>
    </row>
    <row r="344">
      <c r="A344" s="71" t="n">
        <v>45923</v>
      </c>
      <c r="B344" t="n">
        <v>1</v>
      </c>
      <c r="D344" t="inlineStr">
        <is>
          <t>PAS</t>
        </is>
      </c>
      <c r="E344" t="inlineStr">
        <is>
          <t>CLP</t>
        </is>
      </c>
      <c r="F344" t="inlineStr">
        <is>
          <t>CLP</t>
        </is>
      </c>
      <c r="H344" t="inlineStr">
        <is>
          <t>MT_CTA. CORRIENTE</t>
        </is>
      </c>
      <c r="I344" t="inlineStr">
        <is>
          <t>CTA. CORRIENTE PERSONAS_CORE_CORE</t>
        </is>
      </c>
      <c r="K344" t="n">
        <v>9</v>
      </c>
      <c r="M344" s="71" t="n">
        <v>46173</v>
      </c>
      <c r="N344" s="71" t="n">
        <v>46173</v>
      </c>
      <c r="O344" s="71" t="n">
        <v>46173</v>
      </c>
      <c r="P344" t="n">
        <v>34755623249.29972</v>
      </c>
      <c r="V344" t="n">
        <v>1</v>
      </c>
      <c r="W344" t="inlineStr">
        <is>
          <t>BALANCE TASAS</t>
        </is>
      </c>
      <c r="Y344" t="inlineStr">
        <is>
          <t>BALANCE TASAS</t>
        </is>
      </c>
      <c r="Z344" t="inlineStr">
        <is>
          <t>HTM</t>
        </is>
      </c>
      <c r="AA344" t="n">
        <v>1</v>
      </c>
    </row>
    <row r="345">
      <c r="A345" s="71" t="n">
        <v>45923</v>
      </c>
      <c r="B345" t="n">
        <v>1</v>
      </c>
      <c r="D345" t="inlineStr">
        <is>
          <t>PAS</t>
        </is>
      </c>
      <c r="E345" t="inlineStr">
        <is>
          <t>CLP</t>
        </is>
      </c>
      <c r="F345" t="inlineStr">
        <is>
          <t>CLP</t>
        </is>
      </c>
      <c r="H345" t="inlineStr">
        <is>
          <t>MT_CTA. CORRIENTE</t>
        </is>
      </c>
      <c r="I345" t="inlineStr">
        <is>
          <t>CTA. CORRIENTE PERSONAS_CORE_CORE</t>
        </is>
      </c>
      <c r="K345" t="n">
        <v>10</v>
      </c>
      <c r="M345" s="71" t="n">
        <v>46203</v>
      </c>
      <c r="N345" s="71" t="n">
        <v>46203</v>
      </c>
      <c r="O345" s="71" t="n">
        <v>46203</v>
      </c>
      <c r="P345" t="n">
        <v>34755623249.29972</v>
      </c>
      <c r="V345" t="n">
        <v>1</v>
      </c>
      <c r="W345" t="inlineStr">
        <is>
          <t>BALANCE TASAS</t>
        </is>
      </c>
      <c r="Y345" t="inlineStr">
        <is>
          <t>BALANCE TASAS</t>
        </is>
      </c>
      <c r="Z345" t="inlineStr">
        <is>
          <t>HTM</t>
        </is>
      </c>
      <c r="AA345" t="n">
        <v>1</v>
      </c>
    </row>
    <row r="346">
      <c r="A346" s="71" t="n">
        <v>45923</v>
      </c>
      <c r="B346" t="n">
        <v>1</v>
      </c>
      <c r="D346" t="inlineStr">
        <is>
          <t>PAS</t>
        </is>
      </c>
      <c r="E346" t="inlineStr">
        <is>
          <t>CLP</t>
        </is>
      </c>
      <c r="F346" t="inlineStr">
        <is>
          <t>CLP</t>
        </is>
      </c>
      <c r="H346" t="inlineStr">
        <is>
          <t>MT_CTA. CORRIENTE</t>
        </is>
      </c>
      <c r="I346" t="inlineStr">
        <is>
          <t>CTA. CORRIENTE PERSONAS_CORE_CORE</t>
        </is>
      </c>
      <c r="K346" t="n">
        <v>11</v>
      </c>
      <c r="M346" s="71" t="n">
        <v>46234</v>
      </c>
      <c r="N346" s="71" t="n">
        <v>46234</v>
      </c>
      <c r="O346" s="71" t="n">
        <v>46234</v>
      </c>
      <c r="P346" t="n">
        <v>34755623249.29972</v>
      </c>
      <c r="V346" t="n">
        <v>1</v>
      </c>
      <c r="W346" t="inlineStr">
        <is>
          <t>BALANCE TASAS</t>
        </is>
      </c>
      <c r="Y346" t="inlineStr">
        <is>
          <t>BALANCE TASAS</t>
        </is>
      </c>
      <c r="Z346" t="inlineStr">
        <is>
          <t>HTM</t>
        </is>
      </c>
      <c r="AA346" t="n">
        <v>1</v>
      </c>
    </row>
    <row r="347">
      <c r="A347" s="71" t="n">
        <v>45923</v>
      </c>
      <c r="B347" t="n">
        <v>1</v>
      </c>
      <c r="D347" t="inlineStr">
        <is>
          <t>PAS</t>
        </is>
      </c>
      <c r="E347" t="inlineStr">
        <is>
          <t>CLP</t>
        </is>
      </c>
      <c r="F347" t="inlineStr">
        <is>
          <t>CLP</t>
        </is>
      </c>
      <c r="H347" t="inlineStr">
        <is>
          <t>MT_CTA. CORRIENTE</t>
        </is>
      </c>
      <c r="I347" t="inlineStr">
        <is>
          <t>CTA. CORRIENTE PERSONAS_CORE_CORE</t>
        </is>
      </c>
      <c r="K347" t="n">
        <v>12</v>
      </c>
      <c r="M347" s="71" t="n">
        <v>46265</v>
      </c>
      <c r="N347" s="71" t="n">
        <v>46265</v>
      </c>
      <c r="O347" s="71" t="n">
        <v>46265</v>
      </c>
      <c r="P347" t="n">
        <v>34755623249.29972</v>
      </c>
      <c r="V347" t="n">
        <v>1</v>
      </c>
      <c r="W347" t="inlineStr">
        <is>
          <t>BALANCE TASAS</t>
        </is>
      </c>
      <c r="Y347" t="inlineStr">
        <is>
          <t>BALANCE TASAS</t>
        </is>
      </c>
      <c r="Z347" t="inlineStr">
        <is>
          <t>HTM</t>
        </is>
      </c>
      <c r="AA347" t="n">
        <v>1</v>
      </c>
    </row>
    <row r="348">
      <c r="A348" s="71" t="n">
        <v>45923</v>
      </c>
      <c r="B348" t="n">
        <v>1</v>
      </c>
      <c r="D348" t="inlineStr">
        <is>
          <t>PAS</t>
        </is>
      </c>
      <c r="E348" t="inlineStr">
        <is>
          <t>CLP</t>
        </is>
      </c>
      <c r="F348" t="inlineStr">
        <is>
          <t>CLP</t>
        </is>
      </c>
      <c r="H348" t="inlineStr">
        <is>
          <t>MT_CTA. CORRIENTE</t>
        </is>
      </c>
      <c r="I348" t="inlineStr">
        <is>
          <t>CTA. CORRIENTE PERSONAS_CORE_CORE</t>
        </is>
      </c>
      <c r="K348" t="n">
        <v>13</v>
      </c>
      <c r="M348" s="71" t="n">
        <v>46295</v>
      </c>
      <c r="N348" s="71" t="n">
        <v>46295</v>
      </c>
      <c r="O348" s="71" t="n">
        <v>46295</v>
      </c>
      <c r="P348" t="n">
        <v>34755623249.29972</v>
      </c>
      <c r="V348" t="n">
        <v>1</v>
      </c>
      <c r="W348" t="inlineStr">
        <is>
          <t>BALANCE TASAS</t>
        </is>
      </c>
      <c r="Y348" t="inlineStr">
        <is>
          <t>BALANCE TASAS</t>
        </is>
      </c>
      <c r="Z348" t="inlineStr">
        <is>
          <t>HTM</t>
        </is>
      </c>
      <c r="AA348" t="n">
        <v>1</v>
      </c>
    </row>
    <row r="349">
      <c r="A349" s="71" t="n">
        <v>45923</v>
      </c>
      <c r="B349" t="n">
        <v>1</v>
      </c>
      <c r="D349" t="inlineStr">
        <is>
          <t>PAS</t>
        </is>
      </c>
      <c r="E349" t="inlineStr">
        <is>
          <t>CLP</t>
        </is>
      </c>
      <c r="F349" t="inlineStr">
        <is>
          <t>CLP</t>
        </is>
      </c>
      <c r="H349" t="inlineStr">
        <is>
          <t>MT_CTA. CORRIENTE</t>
        </is>
      </c>
      <c r="I349" t="inlineStr">
        <is>
          <t>CTA. CORRIENTE PERSONAS_CORE_CORE</t>
        </is>
      </c>
      <c r="K349" t="n">
        <v>14</v>
      </c>
      <c r="M349" s="71" t="n">
        <v>46326</v>
      </c>
      <c r="N349" s="71" t="n">
        <v>46326</v>
      </c>
      <c r="O349" s="71" t="n">
        <v>46326</v>
      </c>
      <c r="P349" t="n">
        <v>34755623249.29972</v>
      </c>
      <c r="V349" t="n">
        <v>1</v>
      </c>
      <c r="W349" t="inlineStr">
        <is>
          <t>BALANCE TASAS</t>
        </is>
      </c>
      <c r="Y349" t="inlineStr">
        <is>
          <t>BALANCE TASAS</t>
        </is>
      </c>
      <c r="Z349" t="inlineStr">
        <is>
          <t>HTM</t>
        </is>
      </c>
      <c r="AA349" t="n">
        <v>1</v>
      </c>
    </row>
    <row r="350">
      <c r="A350" s="71" t="n">
        <v>45923</v>
      </c>
      <c r="B350" t="n">
        <v>1</v>
      </c>
      <c r="D350" t="inlineStr">
        <is>
          <t>PAS</t>
        </is>
      </c>
      <c r="E350" t="inlineStr">
        <is>
          <t>CLP</t>
        </is>
      </c>
      <c r="F350" t="inlineStr">
        <is>
          <t>CLP</t>
        </is>
      </c>
      <c r="H350" t="inlineStr">
        <is>
          <t>MT_CTA. CORRIENTE</t>
        </is>
      </c>
      <c r="I350" t="inlineStr">
        <is>
          <t>CTA. CORRIENTE PERSONAS_CORE_CORE</t>
        </is>
      </c>
      <c r="K350" t="n">
        <v>15</v>
      </c>
      <c r="M350" s="71" t="n">
        <v>46356</v>
      </c>
      <c r="N350" s="71" t="n">
        <v>46356</v>
      </c>
      <c r="O350" s="71" t="n">
        <v>46356</v>
      </c>
      <c r="P350" t="n">
        <v>34755623249.29972</v>
      </c>
      <c r="V350" t="n">
        <v>1</v>
      </c>
      <c r="W350" t="inlineStr">
        <is>
          <t>BALANCE TASAS</t>
        </is>
      </c>
      <c r="Y350" t="inlineStr">
        <is>
          <t>BALANCE TASAS</t>
        </is>
      </c>
      <c r="Z350" t="inlineStr">
        <is>
          <t>HTM</t>
        </is>
      </c>
      <c r="AA350" t="n">
        <v>1</v>
      </c>
    </row>
    <row r="351">
      <c r="A351" s="71" t="n">
        <v>45923</v>
      </c>
      <c r="B351" t="n">
        <v>1</v>
      </c>
      <c r="D351" t="inlineStr">
        <is>
          <t>PAS</t>
        </is>
      </c>
      <c r="E351" t="inlineStr">
        <is>
          <t>CLP</t>
        </is>
      </c>
      <c r="F351" t="inlineStr">
        <is>
          <t>CLP</t>
        </is>
      </c>
      <c r="H351" t="inlineStr">
        <is>
          <t>MT_CTA. CORRIENTE</t>
        </is>
      </c>
      <c r="I351" t="inlineStr">
        <is>
          <t>CTA. CORRIENTE PERSONAS_CORE_CORE</t>
        </is>
      </c>
      <c r="K351" t="n">
        <v>16</v>
      </c>
      <c r="M351" s="71" t="n">
        <v>46387</v>
      </c>
      <c r="N351" s="71" t="n">
        <v>46387</v>
      </c>
      <c r="O351" s="71" t="n">
        <v>46387</v>
      </c>
      <c r="P351" t="n">
        <v>34755623249.29972</v>
      </c>
      <c r="V351" t="n">
        <v>1</v>
      </c>
      <c r="W351" t="inlineStr">
        <is>
          <t>BALANCE TASAS</t>
        </is>
      </c>
      <c r="Y351" t="inlineStr">
        <is>
          <t>BALANCE TASAS</t>
        </is>
      </c>
      <c r="Z351" t="inlineStr">
        <is>
          <t>HTM</t>
        </is>
      </c>
      <c r="AA351" t="n">
        <v>1</v>
      </c>
    </row>
    <row r="352">
      <c r="A352" s="71" t="n">
        <v>45923</v>
      </c>
      <c r="B352" t="n">
        <v>1</v>
      </c>
      <c r="D352" t="inlineStr">
        <is>
          <t>PAS</t>
        </is>
      </c>
      <c r="E352" t="inlineStr">
        <is>
          <t>CLP</t>
        </is>
      </c>
      <c r="F352" t="inlineStr">
        <is>
          <t>CLP</t>
        </is>
      </c>
      <c r="H352" t="inlineStr">
        <is>
          <t>MT_CTA. CORRIENTE</t>
        </is>
      </c>
      <c r="I352" t="inlineStr">
        <is>
          <t>CTA. CORRIENTE PERSONAS_CORE_CORE</t>
        </is>
      </c>
      <c r="K352" t="n">
        <v>17</v>
      </c>
      <c r="M352" s="71" t="n">
        <v>46418</v>
      </c>
      <c r="N352" s="71" t="n">
        <v>46418</v>
      </c>
      <c r="O352" s="71" t="n">
        <v>46418</v>
      </c>
      <c r="P352" t="n">
        <v>34755623249.29972</v>
      </c>
      <c r="V352" t="n">
        <v>1</v>
      </c>
      <c r="W352" t="inlineStr">
        <is>
          <t>BALANCE TASAS</t>
        </is>
      </c>
      <c r="Y352" t="inlineStr">
        <is>
          <t>BALANCE TASAS</t>
        </is>
      </c>
      <c r="Z352" t="inlineStr">
        <is>
          <t>HTM</t>
        </is>
      </c>
      <c r="AA352" t="n">
        <v>1</v>
      </c>
    </row>
    <row r="353">
      <c r="A353" s="71" t="n">
        <v>45923</v>
      </c>
      <c r="B353" t="n">
        <v>1</v>
      </c>
      <c r="D353" t="inlineStr">
        <is>
          <t>PAS</t>
        </is>
      </c>
      <c r="E353" t="inlineStr">
        <is>
          <t>CLP</t>
        </is>
      </c>
      <c r="F353" t="inlineStr">
        <is>
          <t>CLP</t>
        </is>
      </c>
      <c r="H353" t="inlineStr">
        <is>
          <t>MT_CTA. CORRIENTE</t>
        </is>
      </c>
      <c r="I353" t="inlineStr">
        <is>
          <t>CTA. CORRIENTE PERSONAS_CORE_CORE</t>
        </is>
      </c>
      <c r="K353" t="n">
        <v>18</v>
      </c>
      <c r="M353" s="71" t="n">
        <v>46446</v>
      </c>
      <c r="N353" s="71" t="n">
        <v>46446</v>
      </c>
      <c r="O353" s="71" t="n">
        <v>46446</v>
      </c>
      <c r="P353" t="n">
        <v>34755623249.29972</v>
      </c>
      <c r="V353" t="n">
        <v>1</v>
      </c>
      <c r="W353" t="inlineStr">
        <is>
          <t>BALANCE TASAS</t>
        </is>
      </c>
      <c r="Y353" t="inlineStr">
        <is>
          <t>BALANCE TASAS</t>
        </is>
      </c>
      <c r="Z353" t="inlineStr">
        <is>
          <t>HTM</t>
        </is>
      </c>
      <c r="AA353" t="n">
        <v>1</v>
      </c>
    </row>
    <row r="354">
      <c r="A354" s="71" t="n">
        <v>45923</v>
      </c>
      <c r="B354" t="n">
        <v>1</v>
      </c>
      <c r="D354" t="inlineStr">
        <is>
          <t>PAS</t>
        </is>
      </c>
      <c r="E354" t="inlineStr">
        <is>
          <t>CLP</t>
        </is>
      </c>
      <c r="F354" t="inlineStr">
        <is>
          <t>CLP</t>
        </is>
      </c>
      <c r="H354" t="inlineStr">
        <is>
          <t>MT_CTA. CORRIENTE</t>
        </is>
      </c>
      <c r="I354" t="inlineStr">
        <is>
          <t>CTA. CORRIENTE PERSONAS_CORE_CORE</t>
        </is>
      </c>
      <c r="K354" t="n">
        <v>19</v>
      </c>
      <c r="M354" s="71" t="n">
        <v>46477</v>
      </c>
      <c r="N354" s="71" t="n">
        <v>46477</v>
      </c>
      <c r="O354" s="71" t="n">
        <v>46477</v>
      </c>
      <c r="P354" t="n">
        <v>34755623249.29972</v>
      </c>
      <c r="V354" t="n">
        <v>1</v>
      </c>
      <c r="W354" t="inlineStr">
        <is>
          <t>BALANCE TASAS</t>
        </is>
      </c>
      <c r="Y354" t="inlineStr">
        <is>
          <t>BALANCE TASAS</t>
        </is>
      </c>
      <c r="Z354" t="inlineStr">
        <is>
          <t>HTM</t>
        </is>
      </c>
      <c r="AA354" t="n">
        <v>1</v>
      </c>
    </row>
    <row r="355">
      <c r="A355" s="71" t="n">
        <v>45923</v>
      </c>
      <c r="B355" t="n">
        <v>1</v>
      </c>
      <c r="D355" t="inlineStr">
        <is>
          <t>PAS</t>
        </is>
      </c>
      <c r="E355" t="inlineStr">
        <is>
          <t>CLP</t>
        </is>
      </c>
      <c r="F355" t="inlineStr">
        <is>
          <t>CLP</t>
        </is>
      </c>
      <c r="H355" t="inlineStr">
        <is>
          <t>MT_CTA. CORRIENTE</t>
        </is>
      </c>
      <c r="I355" t="inlineStr">
        <is>
          <t>CTA. CORRIENTE PERSONAS_CORE_CORE</t>
        </is>
      </c>
      <c r="K355" t="n">
        <v>20</v>
      </c>
      <c r="M355" s="71" t="n">
        <v>46507</v>
      </c>
      <c r="N355" s="71" t="n">
        <v>46507</v>
      </c>
      <c r="O355" s="71" t="n">
        <v>46507</v>
      </c>
      <c r="P355" t="n">
        <v>34755623249.29972</v>
      </c>
      <c r="V355" t="n">
        <v>1</v>
      </c>
      <c r="W355" t="inlineStr">
        <is>
          <t>BALANCE TASAS</t>
        </is>
      </c>
      <c r="Y355" t="inlineStr">
        <is>
          <t>BALANCE TASAS</t>
        </is>
      </c>
      <c r="Z355" t="inlineStr">
        <is>
          <t>HTM</t>
        </is>
      </c>
      <c r="AA355" t="n">
        <v>1</v>
      </c>
    </row>
    <row r="356">
      <c r="A356" s="71" t="n">
        <v>45923</v>
      </c>
      <c r="B356" t="n">
        <v>1</v>
      </c>
      <c r="D356" t="inlineStr">
        <is>
          <t>PAS</t>
        </is>
      </c>
      <c r="E356" t="inlineStr">
        <is>
          <t>CLP</t>
        </is>
      </c>
      <c r="F356" t="inlineStr">
        <is>
          <t>CLP</t>
        </is>
      </c>
      <c r="H356" t="inlineStr">
        <is>
          <t>MT_CTA. CORRIENTE</t>
        </is>
      </c>
      <c r="I356" t="inlineStr">
        <is>
          <t>CTA. CORRIENTE PERSONAS_CORE_CORE</t>
        </is>
      </c>
      <c r="K356" t="n">
        <v>21</v>
      </c>
      <c r="M356" s="71" t="n">
        <v>46538</v>
      </c>
      <c r="N356" s="71" t="n">
        <v>46538</v>
      </c>
      <c r="O356" s="71" t="n">
        <v>46538</v>
      </c>
      <c r="P356" t="n">
        <v>34755623249.29972</v>
      </c>
      <c r="V356" t="n">
        <v>1</v>
      </c>
      <c r="W356" t="inlineStr">
        <is>
          <t>BALANCE TASAS</t>
        </is>
      </c>
      <c r="Y356" t="inlineStr">
        <is>
          <t>BALANCE TASAS</t>
        </is>
      </c>
      <c r="Z356" t="inlineStr">
        <is>
          <t>HTM</t>
        </is>
      </c>
      <c r="AA356" t="n">
        <v>1</v>
      </c>
    </row>
    <row r="357">
      <c r="A357" s="71" t="n">
        <v>45923</v>
      </c>
      <c r="B357" t="n">
        <v>1</v>
      </c>
      <c r="D357" t="inlineStr">
        <is>
          <t>PAS</t>
        </is>
      </c>
      <c r="E357" t="inlineStr">
        <is>
          <t>CLP</t>
        </is>
      </c>
      <c r="F357" t="inlineStr">
        <is>
          <t>CLP</t>
        </is>
      </c>
      <c r="H357" t="inlineStr">
        <is>
          <t>MT_CTA. CORRIENTE</t>
        </is>
      </c>
      <c r="I357" t="inlineStr">
        <is>
          <t>CTA. CORRIENTE PERSONAS_CORE_CORE</t>
        </is>
      </c>
      <c r="K357" t="n">
        <v>22</v>
      </c>
      <c r="M357" s="71" t="n">
        <v>46568</v>
      </c>
      <c r="N357" s="71" t="n">
        <v>46568</v>
      </c>
      <c r="O357" s="71" t="n">
        <v>46568</v>
      </c>
      <c r="P357" t="n">
        <v>34755623249.29972</v>
      </c>
      <c r="V357" t="n">
        <v>1</v>
      </c>
      <c r="W357" t="inlineStr">
        <is>
          <t>BALANCE TASAS</t>
        </is>
      </c>
      <c r="Y357" t="inlineStr">
        <is>
          <t>BALANCE TASAS</t>
        </is>
      </c>
      <c r="Z357" t="inlineStr">
        <is>
          <t>HTM</t>
        </is>
      </c>
      <c r="AA357" t="n">
        <v>1</v>
      </c>
    </row>
    <row r="358">
      <c r="A358" s="71" t="n">
        <v>45923</v>
      </c>
      <c r="B358" t="n">
        <v>1</v>
      </c>
      <c r="D358" t="inlineStr">
        <is>
          <t>PAS</t>
        </is>
      </c>
      <c r="E358" t="inlineStr">
        <is>
          <t>CLP</t>
        </is>
      </c>
      <c r="F358" t="inlineStr">
        <is>
          <t>CLP</t>
        </is>
      </c>
      <c r="H358" t="inlineStr">
        <is>
          <t>MT_CTA. CORRIENTE</t>
        </is>
      </c>
      <c r="I358" t="inlineStr">
        <is>
          <t>CTA. CORRIENTE PERSONAS_CORE_CORE</t>
        </is>
      </c>
      <c r="K358" t="n">
        <v>23</v>
      </c>
      <c r="M358" s="71" t="n">
        <v>46599</v>
      </c>
      <c r="N358" s="71" t="n">
        <v>46599</v>
      </c>
      <c r="O358" s="71" t="n">
        <v>46599</v>
      </c>
      <c r="P358" t="n">
        <v>34755623249.29972</v>
      </c>
      <c r="V358" t="n">
        <v>1</v>
      </c>
      <c r="W358" t="inlineStr">
        <is>
          <t>BALANCE TASAS</t>
        </is>
      </c>
      <c r="Y358" t="inlineStr">
        <is>
          <t>BALANCE TASAS</t>
        </is>
      </c>
      <c r="Z358" t="inlineStr">
        <is>
          <t>HTM</t>
        </is>
      </c>
      <c r="AA358" t="n">
        <v>1</v>
      </c>
    </row>
    <row r="359">
      <c r="A359" s="71" t="n">
        <v>45923</v>
      </c>
      <c r="B359" t="n">
        <v>1</v>
      </c>
      <c r="D359" t="inlineStr">
        <is>
          <t>PAS</t>
        </is>
      </c>
      <c r="E359" t="inlineStr">
        <is>
          <t>CLP</t>
        </is>
      </c>
      <c r="F359" t="inlineStr">
        <is>
          <t>CLP</t>
        </is>
      </c>
      <c r="H359" t="inlineStr">
        <is>
          <t>MT_CTA. CORRIENTE</t>
        </is>
      </c>
      <c r="I359" t="inlineStr">
        <is>
          <t>CTA. CORRIENTE PERSONAS_CORE_CORE</t>
        </is>
      </c>
      <c r="K359" t="n">
        <v>24</v>
      </c>
      <c r="M359" s="71" t="n">
        <v>46630</v>
      </c>
      <c r="N359" s="71" t="n">
        <v>46630</v>
      </c>
      <c r="O359" s="71" t="n">
        <v>46630</v>
      </c>
      <c r="P359" t="n">
        <v>34755623249.29972</v>
      </c>
      <c r="V359" t="n">
        <v>1</v>
      </c>
      <c r="W359" t="inlineStr">
        <is>
          <t>BALANCE TASAS</t>
        </is>
      </c>
      <c r="Y359" t="inlineStr">
        <is>
          <t>BALANCE TASAS</t>
        </is>
      </c>
      <c r="Z359" t="inlineStr">
        <is>
          <t>HTM</t>
        </is>
      </c>
      <c r="AA359" t="n">
        <v>1</v>
      </c>
    </row>
    <row r="360">
      <c r="A360" s="71" t="n">
        <v>45923</v>
      </c>
      <c r="B360" t="n">
        <v>1</v>
      </c>
      <c r="D360" t="inlineStr">
        <is>
          <t>PAS</t>
        </is>
      </c>
      <c r="E360" t="inlineStr">
        <is>
          <t>CLP</t>
        </is>
      </c>
      <c r="F360" t="inlineStr">
        <is>
          <t>CLP</t>
        </is>
      </c>
      <c r="H360" t="inlineStr">
        <is>
          <t>MT_CTA. CORRIENTE</t>
        </is>
      </c>
      <c r="I360" t="inlineStr">
        <is>
          <t>CTA. CORRIENTE PERSONAS_CORE_CORE</t>
        </is>
      </c>
      <c r="K360" t="n">
        <v>25</v>
      </c>
      <c r="M360" s="71" t="n">
        <v>46660</v>
      </c>
      <c r="N360" s="71" t="n">
        <v>46660</v>
      </c>
      <c r="O360" s="71" t="n">
        <v>46660</v>
      </c>
      <c r="P360" t="n">
        <v>34755623249.29972</v>
      </c>
      <c r="V360" t="n">
        <v>1</v>
      </c>
      <c r="W360" t="inlineStr">
        <is>
          <t>BALANCE TASAS</t>
        </is>
      </c>
      <c r="Y360" t="inlineStr">
        <is>
          <t>BALANCE TASAS</t>
        </is>
      </c>
      <c r="Z360" t="inlineStr">
        <is>
          <t>HTM</t>
        </is>
      </c>
      <c r="AA360" t="n">
        <v>1</v>
      </c>
    </row>
    <row r="361">
      <c r="A361" s="71" t="n">
        <v>45923</v>
      </c>
      <c r="B361" t="n">
        <v>1</v>
      </c>
      <c r="D361" t="inlineStr">
        <is>
          <t>PAS</t>
        </is>
      </c>
      <c r="E361" t="inlineStr">
        <is>
          <t>CLP</t>
        </is>
      </c>
      <c r="F361" t="inlineStr">
        <is>
          <t>CLP</t>
        </is>
      </c>
      <c r="H361" t="inlineStr">
        <is>
          <t>MT_CTA. CORRIENTE</t>
        </is>
      </c>
      <c r="I361" t="inlineStr">
        <is>
          <t>CTA. CORRIENTE PERSONAS_CORE_CORE</t>
        </is>
      </c>
      <c r="K361" t="n">
        <v>26</v>
      </c>
      <c r="M361" s="71" t="n">
        <v>46691</v>
      </c>
      <c r="N361" s="71" t="n">
        <v>46691</v>
      </c>
      <c r="O361" s="71" t="n">
        <v>46691</v>
      </c>
      <c r="P361" t="n">
        <v>34755623249.29972</v>
      </c>
      <c r="V361" t="n">
        <v>1</v>
      </c>
      <c r="W361" t="inlineStr">
        <is>
          <t>BALANCE TASAS</t>
        </is>
      </c>
      <c r="Y361" t="inlineStr">
        <is>
          <t>BALANCE TASAS</t>
        </is>
      </c>
      <c r="Z361" t="inlineStr">
        <is>
          <t>HTM</t>
        </is>
      </c>
      <c r="AA361" t="n">
        <v>1</v>
      </c>
    </row>
    <row r="362">
      <c r="A362" s="71" t="n">
        <v>45923</v>
      </c>
      <c r="B362" t="n">
        <v>1</v>
      </c>
      <c r="D362" t="inlineStr">
        <is>
          <t>PAS</t>
        </is>
      </c>
      <c r="E362" t="inlineStr">
        <is>
          <t>CLP</t>
        </is>
      </c>
      <c r="F362" t="inlineStr">
        <is>
          <t>CLP</t>
        </is>
      </c>
      <c r="H362" t="inlineStr">
        <is>
          <t>MT_CTA. CORRIENTE</t>
        </is>
      </c>
      <c r="I362" t="inlineStr">
        <is>
          <t>CTA. CORRIENTE PERSONAS_CORE_CORE</t>
        </is>
      </c>
      <c r="K362" t="n">
        <v>27</v>
      </c>
      <c r="M362" s="71" t="n">
        <v>46721</v>
      </c>
      <c r="N362" s="71" t="n">
        <v>46721</v>
      </c>
      <c r="O362" s="71" t="n">
        <v>46721</v>
      </c>
      <c r="P362" t="n">
        <v>34755623249.29972</v>
      </c>
      <c r="V362" t="n">
        <v>1</v>
      </c>
      <c r="W362" t="inlineStr">
        <is>
          <t>BALANCE TASAS</t>
        </is>
      </c>
      <c r="Y362" t="inlineStr">
        <is>
          <t>BALANCE TASAS</t>
        </is>
      </c>
      <c r="Z362" t="inlineStr">
        <is>
          <t>HTM</t>
        </is>
      </c>
      <c r="AA362" t="n">
        <v>1</v>
      </c>
    </row>
    <row r="363">
      <c r="A363" s="71" t="n">
        <v>45923</v>
      </c>
      <c r="B363" t="n">
        <v>1</v>
      </c>
      <c r="D363" t="inlineStr">
        <is>
          <t>PAS</t>
        </is>
      </c>
      <c r="E363" t="inlineStr">
        <is>
          <t>CLP</t>
        </is>
      </c>
      <c r="F363" t="inlineStr">
        <is>
          <t>CLP</t>
        </is>
      </c>
      <c r="H363" t="inlineStr">
        <is>
          <t>MT_CTA. CORRIENTE</t>
        </is>
      </c>
      <c r="I363" t="inlineStr">
        <is>
          <t>CTA. CORRIENTE PERSONAS_CORE_CORE</t>
        </is>
      </c>
      <c r="K363" t="n">
        <v>28</v>
      </c>
      <c r="M363" s="71" t="n">
        <v>46752</v>
      </c>
      <c r="N363" s="71" t="n">
        <v>46752</v>
      </c>
      <c r="O363" s="71" t="n">
        <v>46752</v>
      </c>
      <c r="P363" t="n">
        <v>34755623249.29972</v>
      </c>
      <c r="V363" t="n">
        <v>1</v>
      </c>
      <c r="W363" t="inlineStr">
        <is>
          <t>BALANCE TASAS</t>
        </is>
      </c>
      <c r="Y363" t="inlineStr">
        <is>
          <t>BALANCE TASAS</t>
        </is>
      </c>
      <c r="Z363" t="inlineStr">
        <is>
          <t>HTM</t>
        </is>
      </c>
      <c r="AA363" t="n">
        <v>1</v>
      </c>
    </row>
    <row r="364">
      <c r="A364" s="71" t="n">
        <v>45923</v>
      </c>
      <c r="B364" t="n">
        <v>1</v>
      </c>
      <c r="D364" t="inlineStr">
        <is>
          <t>PAS</t>
        </is>
      </c>
      <c r="E364" t="inlineStr">
        <is>
          <t>CLP</t>
        </is>
      </c>
      <c r="F364" t="inlineStr">
        <is>
          <t>CLP</t>
        </is>
      </c>
      <c r="H364" t="inlineStr">
        <is>
          <t>MT_CTA. CORRIENTE</t>
        </is>
      </c>
      <c r="I364" t="inlineStr">
        <is>
          <t>CTA. CORRIENTE PERSONAS_CORE_CORE</t>
        </is>
      </c>
      <c r="K364" t="n">
        <v>29</v>
      </c>
      <c r="M364" s="71" t="n">
        <v>46783</v>
      </c>
      <c r="N364" s="71" t="n">
        <v>46783</v>
      </c>
      <c r="O364" s="71" t="n">
        <v>46783</v>
      </c>
      <c r="P364" t="n">
        <v>34755623249.29972</v>
      </c>
      <c r="V364" t="n">
        <v>1</v>
      </c>
      <c r="W364" t="inlineStr">
        <is>
          <t>BALANCE TASAS</t>
        </is>
      </c>
      <c r="Y364" t="inlineStr">
        <is>
          <t>BALANCE TASAS</t>
        </is>
      </c>
      <c r="Z364" t="inlineStr">
        <is>
          <t>HTM</t>
        </is>
      </c>
      <c r="AA364" t="n">
        <v>1</v>
      </c>
    </row>
    <row r="365">
      <c r="A365" s="71" t="n">
        <v>45923</v>
      </c>
      <c r="B365" t="n">
        <v>1</v>
      </c>
      <c r="D365" t="inlineStr">
        <is>
          <t>PAS</t>
        </is>
      </c>
      <c r="E365" t="inlineStr">
        <is>
          <t>CLP</t>
        </is>
      </c>
      <c r="F365" t="inlineStr">
        <is>
          <t>CLP</t>
        </is>
      </c>
      <c r="H365" t="inlineStr">
        <is>
          <t>MT_CTA. CORRIENTE</t>
        </is>
      </c>
      <c r="I365" t="inlineStr">
        <is>
          <t>CTA. CORRIENTE PERSONAS_CORE_CORE</t>
        </is>
      </c>
      <c r="K365" t="n">
        <v>30</v>
      </c>
      <c r="M365" s="71" t="n">
        <v>46812</v>
      </c>
      <c r="N365" s="71" t="n">
        <v>46812</v>
      </c>
      <c r="O365" s="71" t="n">
        <v>46812</v>
      </c>
      <c r="P365" t="n">
        <v>34755623249.29972</v>
      </c>
      <c r="V365" t="n">
        <v>1</v>
      </c>
      <c r="W365" t="inlineStr">
        <is>
          <t>BALANCE TASAS</t>
        </is>
      </c>
      <c r="Y365" t="inlineStr">
        <is>
          <t>BALANCE TASAS</t>
        </is>
      </c>
      <c r="Z365" t="inlineStr">
        <is>
          <t>HTM</t>
        </is>
      </c>
      <c r="AA365" t="n">
        <v>1</v>
      </c>
    </row>
    <row r="366">
      <c r="A366" s="71" t="n">
        <v>45923</v>
      </c>
      <c r="B366" t="n">
        <v>1</v>
      </c>
      <c r="D366" t="inlineStr">
        <is>
          <t>PAS</t>
        </is>
      </c>
      <c r="E366" t="inlineStr">
        <is>
          <t>CLP</t>
        </is>
      </c>
      <c r="F366" t="inlineStr">
        <is>
          <t>CLP</t>
        </is>
      </c>
      <c r="H366" t="inlineStr">
        <is>
          <t>MT_CTA. CORRIENTE</t>
        </is>
      </c>
      <c r="I366" t="inlineStr">
        <is>
          <t>CTA. CORRIENTE PERSONAS_CORE_CORE</t>
        </is>
      </c>
      <c r="K366" t="n">
        <v>31</v>
      </c>
      <c r="M366" s="71" t="n">
        <v>46843</v>
      </c>
      <c r="N366" s="71" t="n">
        <v>46843</v>
      </c>
      <c r="O366" s="71" t="n">
        <v>46843</v>
      </c>
      <c r="P366" t="n">
        <v>34755623249.29972</v>
      </c>
      <c r="V366" t="n">
        <v>1</v>
      </c>
      <c r="W366" t="inlineStr">
        <is>
          <t>BALANCE TASAS</t>
        </is>
      </c>
      <c r="Y366" t="inlineStr">
        <is>
          <t>BALANCE TASAS</t>
        </is>
      </c>
      <c r="Z366" t="inlineStr">
        <is>
          <t>HTM</t>
        </is>
      </c>
      <c r="AA366" t="n">
        <v>1</v>
      </c>
    </row>
    <row r="367">
      <c r="A367" s="71" t="n">
        <v>45923</v>
      </c>
      <c r="B367" t="n">
        <v>1</v>
      </c>
      <c r="D367" t="inlineStr">
        <is>
          <t>PAS</t>
        </is>
      </c>
      <c r="E367" t="inlineStr">
        <is>
          <t>CLP</t>
        </is>
      </c>
      <c r="F367" t="inlineStr">
        <is>
          <t>CLP</t>
        </is>
      </c>
      <c r="H367" t="inlineStr">
        <is>
          <t>MT_CTA. CORRIENTE</t>
        </is>
      </c>
      <c r="I367" t="inlineStr">
        <is>
          <t>CTA. CORRIENTE PERSONAS_CORE_CORE</t>
        </is>
      </c>
      <c r="K367" t="n">
        <v>32</v>
      </c>
      <c r="M367" s="71" t="n">
        <v>46873</v>
      </c>
      <c r="N367" s="71" t="n">
        <v>46873</v>
      </c>
      <c r="O367" s="71" t="n">
        <v>46873</v>
      </c>
      <c r="P367" t="n">
        <v>34755623249.29972</v>
      </c>
      <c r="V367" t="n">
        <v>1</v>
      </c>
      <c r="W367" t="inlineStr">
        <is>
          <t>BALANCE TASAS</t>
        </is>
      </c>
      <c r="Y367" t="inlineStr">
        <is>
          <t>BALANCE TASAS</t>
        </is>
      </c>
      <c r="Z367" t="inlineStr">
        <is>
          <t>HTM</t>
        </is>
      </c>
      <c r="AA367" t="n">
        <v>1</v>
      </c>
    </row>
    <row r="368">
      <c r="A368" s="71" t="n">
        <v>45923</v>
      </c>
      <c r="B368" t="n">
        <v>1</v>
      </c>
      <c r="D368" t="inlineStr">
        <is>
          <t>PAS</t>
        </is>
      </c>
      <c r="E368" t="inlineStr">
        <is>
          <t>CLP</t>
        </is>
      </c>
      <c r="F368" t="inlineStr">
        <is>
          <t>CLP</t>
        </is>
      </c>
      <c r="H368" t="inlineStr">
        <is>
          <t>MT_CTA. CORRIENTE</t>
        </is>
      </c>
      <c r="I368" t="inlineStr">
        <is>
          <t>CTA. CORRIENTE PERSONAS_CORE_CORE</t>
        </is>
      </c>
      <c r="K368" t="n">
        <v>33</v>
      </c>
      <c r="M368" s="71" t="n">
        <v>46904</v>
      </c>
      <c r="N368" s="71" t="n">
        <v>46904</v>
      </c>
      <c r="O368" s="71" t="n">
        <v>46904</v>
      </c>
      <c r="P368" t="n">
        <v>34755623249.29972</v>
      </c>
      <c r="V368" t="n">
        <v>1</v>
      </c>
      <c r="W368" t="inlineStr">
        <is>
          <t>BALANCE TASAS</t>
        </is>
      </c>
      <c r="Y368" t="inlineStr">
        <is>
          <t>BALANCE TASAS</t>
        </is>
      </c>
      <c r="Z368" t="inlineStr">
        <is>
          <t>HTM</t>
        </is>
      </c>
      <c r="AA368" t="n">
        <v>1</v>
      </c>
    </row>
    <row r="369">
      <c r="A369" s="71" t="n">
        <v>45923</v>
      </c>
      <c r="B369" t="n">
        <v>1</v>
      </c>
      <c r="D369" t="inlineStr">
        <is>
          <t>PAS</t>
        </is>
      </c>
      <c r="E369" t="inlineStr">
        <is>
          <t>CLP</t>
        </is>
      </c>
      <c r="F369" t="inlineStr">
        <is>
          <t>CLP</t>
        </is>
      </c>
      <c r="H369" t="inlineStr">
        <is>
          <t>MT_CTA. CORRIENTE</t>
        </is>
      </c>
      <c r="I369" t="inlineStr">
        <is>
          <t>CTA. CORRIENTE PERSONAS_CORE_CORE</t>
        </is>
      </c>
      <c r="K369" t="n">
        <v>34</v>
      </c>
      <c r="M369" s="71" t="n">
        <v>46934</v>
      </c>
      <c r="N369" s="71" t="n">
        <v>46934</v>
      </c>
      <c r="O369" s="71" t="n">
        <v>46934</v>
      </c>
      <c r="P369" t="n">
        <v>2203270308.123249</v>
      </c>
      <c r="V369" t="n">
        <v>1</v>
      </c>
      <c r="W369" t="inlineStr">
        <is>
          <t>BALANCE TASAS</t>
        </is>
      </c>
      <c r="Y369" t="inlineStr">
        <is>
          <t>BALANCE TASAS</t>
        </is>
      </c>
      <c r="Z369" t="inlineStr">
        <is>
          <t>HTM</t>
        </is>
      </c>
      <c r="AA369" t="n">
        <v>1</v>
      </c>
    </row>
    <row r="370">
      <c r="A370" s="71" t="n">
        <v>45923</v>
      </c>
      <c r="B370" t="n">
        <v>1</v>
      </c>
      <c r="D370" t="inlineStr">
        <is>
          <t>PAS</t>
        </is>
      </c>
      <c r="E370" t="inlineStr">
        <is>
          <t>CLP</t>
        </is>
      </c>
      <c r="F370" t="inlineStr">
        <is>
          <t>CLP</t>
        </is>
      </c>
      <c r="H370" t="inlineStr">
        <is>
          <t>MT_CTA. CORRIENTE</t>
        </is>
      </c>
      <c r="I370" t="inlineStr">
        <is>
          <t>CTA. CORRIENTE PERSONAS_CORE_CORE</t>
        </is>
      </c>
      <c r="K370" t="n">
        <v>35</v>
      </c>
      <c r="M370" s="71" t="n">
        <v>46965</v>
      </c>
      <c r="N370" s="71" t="n">
        <v>46965</v>
      </c>
      <c r="O370" s="71" t="n">
        <v>46965</v>
      </c>
      <c r="P370" t="n">
        <v>2203270308.123249</v>
      </c>
      <c r="V370" t="n">
        <v>1</v>
      </c>
      <c r="W370" t="inlineStr">
        <is>
          <t>BALANCE TASAS</t>
        </is>
      </c>
      <c r="Y370" t="inlineStr">
        <is>
          <t>BALANCE TASAS</t>
        </is>
      </c>
      <c r="Z370" t="inlineStr">
        <is>
          <t>HTM</t>
        </is>
      </c>
      <c r="AA370" t="n">
        <v>1</v>
      </c>
    </row>
    <row r="371">
      <c r="A371" s="71" t="n">
        <v>45923</v>
      </c>
      <c r="B371" t="n">
        <v>1</v>
      </c>
      <c r="D371" t="inlineStr">
        <is>
          <t>PAS</t>
        </is>
      </c>
      <c r="E371" t="inlineStr">
        <is>
          <t>CLP</t>
        </is>
      </c>
      <c r="F371" t="inlineStr">
        <is>
          <t>CLP</t>
        </is>
      </c>
      <c r="H371" t="inlineStr">
        <is>
          <t>MT_CTA. CORRIENTE</t>
        </is>
      </c>
      <c r="I371" t="inlineStr">
        <is>
          <t>CTA. CORRIENTE PERSONAS_CORE_CORE</t>
        </is>
      </c>
      <c r="K371" t="n">
        <v>36</v>
      </c>
      <c r="M371" s="71" t="n">
        <v>46996</v>
      </c>
      <c r="N371" s="71" t="n">
        <v>46996</v>
      </c>
      <c r="O371" s="71" t="n">
        <v>46996</v>
      </c>
      <c r="P371" t="n">
        <v>2203270308.123249</v>
      </c>
      <c r="V371" t="n">
        <v>1</v>
      </c>
      <c r="W371" t="inlineStr">
        <is>
          <t>BALANCE TASAS</t>
        </is>
      </c>
      <c r="Y371" t="inlineStr">
        <is>
          <t>BALANCE TASAS</t>
        </is>
      </c>
      <c r="Z371" t="inlineStr">
        <is>
          <t>HTM</t>
        </is>
      </c>
      <c r="AA371" t="n">
        <v>1</v>
      </c>
    </row>
    <row r="372">
      <c r="A372" s="71" t="n">
        <v>45923</v>
      </c>
      <c r="B372" t="n">
        <v>1</v>
      </c>
      <c r="D372" t="inlineStr">
        <is>
          <t>PAS</t>
        </is>
      </c>
      <c r="E372" t="inlineStr">
        <is>
          <t>CLP</t>
        </is>
      </c>
      <c r="F372" t="inlineStr">
        <is>
          <t>CLP</t>
        </is>
      </c>
      <c r="H372" t="inlineStr">
        <is>
          <t>MT_CTA. CORRIENTE</t>
        </is>
      </c>
      <c r="I372" t="inlineStr">
        <is>
          <t>CTA. CORRIENTE PERSONAS_CORE_CORE</t>
        </is>
      </c>
      <c r="K372" t="n">
        <v>37</v>
      </c>
      <c r="M372" s="71" t="n">
        <v>47026</v>
      </c>
      <c r="N372" s="71" t="n">
        <v>47026</v>
      </c>
      <c r="O372" s="71" t="n">
        <v>47026</v>
      </c>
      <c r="P372" t="n">
        <v>2203270308.123249</v>
      </c>
      <c r="V372" t="n">
        <v>1</v>
      </c>
      <c r="W372" t="inlineStr">
        <is>
          <t>BALANCE TASAS</t>
        </is>
      </c>
      <c r="Y372" t="inlineStr">
        <is>
          <t>BALANCE TASAS</t>
        </is>
      </c>
      <c r="Z372" t="inlineStr">
        <is>
          <t>HTM</t>
        </is>
      </c>
      <c r="AA372" t="n">
        <v>1</v>
      </c>
    </row>
    <row r="373">
      <c r="A373" s="71" t="n">
        <v>45923</v>
      </c>
      <c r="B373" t="n">
        <v>1</v>
      </c>
      <c r="D373" t="inlineStr">
        <is>
          <t>PAS</t>
        </is>
      </c>
      <c r="E373" t="inlineStr">
        <is>
          <t>CLP</t>
        </is>
      </c>
      <c r="F373" t="inlineStr">
        <is>
          <t>CLP</t>
        </is>
      </c>
      <c r="H373" t="inlineStr">
        <is>
          <t>MT_CTA. CORRIENTE</t>
        </is>
      </c>
      <c r="I373" t="inlineStr">
        <is>
          <t>CTA. CORRIENTE PERSONAS_CORE_CORE</t>
        </is>
      </c>
      <c r="K373" t="n">
        <v>38</v>
      </c>
      <c r="M373" s="71" t="n">
        <v>47057</v>
      </c>
      <c r="N373" s="71" t="n">
        <v>47057</v>
      </c>
      <c r="O373" s="71" t="n">
        <v>47057</v>
      </c>
      <c r="P373" t="n">
        <v>2203270308.123249</v>
      </c>
      <c r="V373" t="n">
        <v>1</v>
      </c>
      <c r="W373" t="inlineStr">
        <is>
          <t>BALANCE TASAS</t>
        </is>
      </c>
      <c r="Y373" t="inlineStr">
        <is>
          <t>BALANCE TASAS</t>
        </is>
      </c>
      <c r="Z373" t="inlineStr">
        <is>
          <t>HTM</t>
        </is>
      </c>
      <c r="AA373" t="n">
        <v>1</v>
      </c>
    </row>
    <row r="374">
      <c r="A374" s="71" t="n">
        <v>45923</v>
      </c>
      <c r="B374" t="n">
        <v>1</v>
      </c>
      <c r="D374" t="inlineStr">
        <is>
          <t>PAS</t>
        </is>
      </c>
      <c r="E374" t="inlineStr">
        <is>
          <t>CLP</t>
        </is>
      </c>
      <c r="F374" t="inlineStr">
        <is>
          <t>CLP</t>
        </is>
      </c>
      <c r="H374" t="inlineStr">
        <is>
          <t>MT_CTA. CORRIENTE</t>
        </is>
      </c>
      <c r="I374" t="inlineStr">
        <is>
          <t>CTA. CORRIENTE PERSONAS_CORE_CORE</t>
        </is>
      </c>
      <c r="K374" t="n">
        <v>39</v>
      </c>
      <c r="M374" s="71" t="n">
        <v>47087</v>
      </c>
      <c r="N374" s="71" t="n">
        <v>47087</v>
      </c>
      <c r="O374" s="71" t="n">
        <v>47087</v>
      </c>
      <c r="P374" t="n">
        <v>2203270308.123249</v>
      </c>
      <c r="V374" t="n">
        <v>1</v>
      </c>
      <c r="W374" t="inlineStr">
        <is>
          <t>BALANCE TASAS</t>
        </is>
      </c>
      <c r="Y374" t="inlineStr">
        <is>
          <t>BALANCE TASAS</t>
        </is>
      </c>
      <c r="Z374" t="inlineStr">
        <is>
          <t>HTM</t>
        </is>
      </c>
      <c r="AA374" t="n">
        <v>1</v>
      </c>
    </row>
    <row r="375">
      <c r="A375" s="71" t="n">
        <v>45923</v>
      </c>
      <c r="B375" t="n">
        <v>1</v>
      </c>
      <c r="D375" t="inlineStr">
        <is>
          <t>PAS</t>
        </is>
      </c>
      <c r="E375" t="inlineStr">
        <is>
          <t>CLP</t>
        </is>
      </c>
      <c r="F375" t="inlineStr">
        <is>
          <t>CLP</t>
        </is>
      </c>
      <c r="H375" t="inlineStr">
        <is>
          <t>MT_CTA. CORRIENTE</t>
        </is>
      </c>
      <c r="I375" t="inlineStr">
        <is>
          <t>CTA. CORRIENTE PERSONAS_CORE_CORE</t>
        </is>
      </c>
      <c r="K375" t="n">
        <v>40</v>
      </c>
      <c r="M375" s="71" t="n">
        <v>47118</v>
      </c>
      <c r="N375" s="71" t="n">
        <v>47118</v>
      </c>
      <c r="O375" s="71" t="n">
        <v>47118</v>
      </c>
      <c r="P375" t="n">
        <v>2203270308.123249</v>
      </c>
      <c r="V375" t="n">
        <v>1</v>
      </c>
      <c r="W375" t="inlineStr">
        <is>
          <t>BALANCE TASAS</t>
        </is>
      </c>
      <c r="Y375" t="inlineStr">
        <is>
          <t>BALANCE TASAS</t>
        </is>
      </c>
      <c r="Z375" t="inlineStr">
        <is>
          <t>HTM</t>
        </is>
      </c>
      <c r="AA375" t="n">
        <v>1</v>
      </c>
    </row>
    <row r="376">
      <c r="A376" s="71" t="n">
        <v>45923</v>
      </c>
      <c r="B376" t="n">
        <v>1</v>
      </c>
      <c r="D376" t="inlineStr">
        <is>
          <t>PAS</t>
        </is>
      </c>
      <c r="E376" t="inlineStr">
        <is>
          <t>CLP</t>
        </is>
      </c>
      <c r="F376" t="inlineStr">
        <is>
          <t>CLP</t>
        </is>
      </c>
      <c r="H376" t="inlineStr">
        <is>
          <t>MT_CTA. CORRIENTE</t>
        </is>
      </c>
      <c r="I376" t="inlineStr">
        <is>
          <t>CTA. CORRIENTE PERSONAS_CORE_CORE</t>
        </is>
      </c>
      <c r="K376" t="n">
        <v>41</v>
      </c>
      <c r="M376" s="71" t="n">
        <v>47149</v>
      </c>
      <c r="N376" s="71" t="n">
        <v>47149</v>
      </c>
      <c r="O376" s="71" t="n">
        <v>47149</v>
      </c>
      <c r="P376" t="n">
        <v>2203270308.123249</v>
      </c>
      <c r="V376" t="n">
        <v>1</v>
      </c>
      <c r="W376" t="inlineStr">
        <is>
          <t>BALANCE TASAS</t>
        </is>
      </c>
      <c r="Y376" t="inlineStr">
        <is>
          <t>BALANCE TASAS</t>
        </is>
      </c>
      <c r="Z376" t="inlineStr">
        <is>
          <t>HTM</t>
        </is>
      </c>
      <c r="AA376" t="n">
        <v>1</v>
      </c>
    </row>
    <row r="377">
      <c r="A377" s="71" t="n">
        <v>45923</v>
      </c>
      <c r="B377" t="n">
        <v>1</v>
      </c>
      <c r="D377" t="inlineStr">
        <is>
          <t>PAS</t>
        </is>
      </c>
      <c r="E377" t="inlineStr">
        <is>
          <t>CLP</t>
        </is>
      </c>
      <c r="F377" t="inlineStr">
        <is>
          <t>CLP</t>
        </is>
      </c>
      <c r="H377" t="inlineStr">
        <is>
          <t>MT_CTA. CORRIENTE</t>
        </is>
      </c>
      <c r="I377" t="inlineStr">
        <is>
          <t>CTA. CORRIENTE PERSONAS_CORE_CORE</t>
        </is>
      </c>
      <c r="K377" t="n">
        <v>42</v>
      </c>
      <c r="M377" s="71" t="n">
        <v>47177</v>
      </c>
      <c r="N377" s="71" t="n">
        <v>47177</v>
      </c>
      <c r="O377" s="71" t="n">
        <v>47177</v>
      </c>
      <c r="P377" t="n">
        <v>2203270308.123249</v>
      </c>
      <c r="V377" t="n">
        <v>1</v>
      </c>
      <c r="W377" t="inlineStr">
        <is>
          <t>BALANCE TASAS</t>
        </is>
      </c>
      <c r="Y377" t="inlineStr">
        <is>
          <t>BALANCE TASAS</t>
        </is>
      </c>
      <c r="Z377" t="inlineStr">
        <is>
          <t>HTM</t>
        </is>
      </c>
      <c r="AA377" t="n">
        <v>1</v>
      </c>
    </row>
    <row r="378">
      <c r="A378" s="71" t="n">
        <v>45923</v>
      </c>
      <c r="B378" t="n">
        <v>1</v>
      </c>
      <c r="D378" t="inlineStr">
        <is>
          <t>PAS</t>
        </is>
      </c>
      <c r="E378" t="inlineStr">
        <is>
          <t>CLP</t>
        </is>
      </c>
      <c r="F378" t="inlineStr">
        <is>
          <t>CLP</t>
        </is>
      </c>
      <c r="H378" t="inlineStr">
        <is>
          <t>MT_CTA. CORRIENTE</t>
        </is>
      </c>
      <c r="I378" t="inlineStr">
        <is>
          <t>CTA. CORRIENTE PERSONAS</t>
        </is>
      </c>
      <c r="M378" s="71" t="n">
        <v>45924</v>
      </c>
      <c r="N378" s="71" t="n">
        <v>45924</v>
      </c>
      <c r="O378" s="71" t="n">
        <v>45924</v>
      </c>
      <c r="P378" t="n">
        <v>163049889308.9998</v>
      </c>
      <c r="V378" t="n">
        <v>1</v>
      </c>
      <c r="W378" t="inlineStr">
        <is>
          <t>BALANCE TASAS</t>
        </is>
      </c>
      <c r="Y378" t="inlineStr">
        <is>
          <t>BALANCE TASAS</t>
        </is>
      </c>
      <c r="Z378" t="inlineStr">
        <is>
          <t>HTM</t>
        </is>
      </c>
      <c r="AA378" t="n">
        <v>1</v>
      </c>
    </row>
    <row r="379">
      <c r="A379" s="71" t="n">
        <v>45923</v>
      </c>
      <c r="B379" t="n">
        <v>1</v>
      </c>
      <c r="D379" t="inlineStr">
        <is>
          <t>PAS</t>
        </is>
      </c>
      <c r="E379" t="inlineStr">
        <is>
          <t>CLP</t>
        </is>
      </c>
      <c r="F379" t="inlineStr">
        <is>
          <t>CLP</t>
        </is>
      </c>
      <c r="H379" t="inlineStr">
        <is>
          <t>MT.CTA. VISTA</t>
        </is>
      </c>
      <c r="I379" t="inlineStr">
        <is>
          <t>CTA. VISTA_CORE_CORE</t>
        </is>
      </c>
      <c r="K379" t="n">
        <v>1</v>
      </c>
      <c r="M379" s="71" t="n">
        <v>45930</v>
      </c>
      <c r="N379" s="71" t="n">
        <v>45930</v>
      </c>
      <c r="O379" s="71" t="n">
        <v>45930</v>
      </c>
      <c r="P379" t="n">
        <v>3744831372.54902</v>
      </c>
      <c r="V379" t="n">
        <v>1</v>
      </c>
      <c r="W379" t="inlineStr">
        <is>
          <t>BALANCE TASAS</t>
        </is>
      </c>
      <c r="Y379" t="inlineStr">
        <is>
          <t>BALANCE TASAS</t>
        </is>
      </c>
      <c r="Z379" t="inlineStr">
        <is>
          <t>HTM</t>
        </is>
      </c>
      <c r="AA379" t="n">
        <v>1</v>
      </c>
    </row>
    <row r="380">
      <c r="A380" s="71" t="n">
        <v>45923</v>
      </c>
      <c r="B380" t="n">
        <v>1</v>
      </c>
      <c r="D380" t="inlineStr">
        <is>
          <t>PAS</t>
        </is>
      </c>
      <c r="E380" t="inlineStr">
        <is>
          <t>CLP</t>
        </is>
      </c>
      <c r="F380" t="inlineStr">
        <is>
          <t>CLP</t>
        </is>
      </c>
      <c r="H380" t="inlineStr">
        <is>
          <t>MT.CTA. VISTA</t>
        </is>
      </c>
      <c r="I380" t="inlineStr">
        <is>
          <t>CTA. VISTA_CORE_CORE</t>
        </is>
      </c>
      <c r="K380" t="n">
        <v>2</v>
      </c>
      <c r="M380" s="71" t="n">
        <v>45961</v>
      </c>
      <c r="N380" s="71" t="n">
        <v>45961</v>
      </c>
      <c r="O380" s="71" t="n">
        <v>45961</v>
      </c>
      <c r="P380" t="n">
        <v>3744831372.54902</v>
      </c>
      <c r="V380" t="n">
        <v>1</v>
      </c>
      <c r="W380" t="inlineStr">
        <is>
          <t>BALANCE TASAS</t>
        </is>
      </c>
      <c r="Y380" t="inlineStr">
        <is>
          <t>BALANCE TASAS</t>
        </is>
      </c>
      <c r="Z380" t="inlineStr">
        <is>
          <t>HTM</t>
        </is>
      </c>
      <c r="AA380" t="n">
        <v>1</v>
      </c>
    </row>
    <row r="381">
      <c r="A381" s="71" t="n">
        <v>45923</v>
      </c>
      <c r="B381" t="n">
        <v>1</v>
      </c>
      <c r="D381" t="inlineStr">
        <is>
          <t>PAS</t>
        </is>
      </c>
      <c r="E381" t="inlineStr">
        <is>
          <t>CLP</t>
        </is>
      </c>
      <c r="F381" t="inlineStr">
        <is>
          <t>CLP</t>
        </is>
      </c>
      <c r="H381" t="inlineStr">
        <is>
          <t>MT.CTA. VISTA</t>
        </is>
      </c>
      <c r="I381" t="inlineStr">
        <is>
          <t>CTA. VISTA_CORE_CORE</t>
        </is>
      </c>
      <c r="K381" t="n">
        <v>3</v>
      </c>
      <c r="M381" s="71" t="n">
        <v>45991</v>
      </c>
      <c r="N381" s="71" t="n">
        <v>45991</v>
      </c>
      <c r="O381" s="71" t="n">
        <v>45991</v>
      </c>
      <c r="P381" t="n">
        <v>3744831372.54902</v>
      </c>
      <c r="V381" t="n">
        <v>1</v>
      </c>
      <c r="W381" t="inlineStr">
        <is>
          <t>BALANCE TASAS</t>
        </is>
      </c>
      <c r="Y381" t="inlineStr">
        <is>
          <t>BALANCE TASAS</t>
        </is>
      </c>
      <c r="Z381" t="inlineStr">
        <is>
          <t>HTM</t>
        </is>
      </c>
      <c r="AA381" t="n">
        <v>1</v>
      </c>
    </row>
    <row r="382">
      <c r="A382" s="71" t="n">
        <v>45923</v>
      </c>
      <c r="B382" t="n">
        <v>1</v>
      </c>
      <c r="D382" t="inlineStr">
        <is>
          <t>PAS</t>
        </is>
      </c>
      <c r="E382" t="inlineStr">
        <is>
          <t>CLP</t>
        </is>
      </c>
      <c r="F382" t="inlineStr">
        <is>
          <t>CLP</t>
        </is>
      </c>
      <c r="H382" t="inlineStr">
        <is>
          <t>MT.CTA. VISTA</t>
        </is>
      </c>
      <c r="I382" t="inlineStr">
        <is>
          <t>CTA. VISTA_CORE_CORE</t>
        </is>
      </c>
      <c r="K382" t="n">
        <v>4</v>
      </c>
      <c r="M382" s="71" t="n">
        <v>46022</v>
      </c>
      <c r="N382" s="71" t="n">
        <v>46022</v>
      </c>
      <c r="O382" s="71" t="n">
        <v>46022</v>
      </c>
      <c r="P382" t="n">
        <v>3744831372.54902</v>
      </c>
      <c r="V382" t="n">
        <v>1</v>
      </c>
      <c r="W382" t="inlineStr">
        <is>
          <t>BALANCE TASAS</t>
        </is>
      </c>
      <c r="Y382" t="inlineStr">
        <is>
          <t>BALANCE TASAS</t>
        </is>
      </c>
      <c r="Z382" t="inlineStr">
        <is>
          <t>HTM</t>
        </is>
      </c>
      <c r="AA382" t="n">
        <v>1</v>
      </c>
    </row>
    <row r="383">
      <c r="A383" s="71" t="n">
        <v>45923</v>
      </c>
      <c r="B383" t="n">
        <v>1</v>
      </c>
      <c r="D383" t="inlineStr">
        <is>
          <t>PAS</t>
        </is>
      </c>
      <c r="E383" t="inlineStr">
        <is>
          <t>CLP</t>
        </is>
      </c>
      <c r="F383" t="inlineStr">
        <is>
          <t>CLP</t>
        </is>
      </c>
      <c r="H383" t="inlineStr">
        <is>
          <t>MT.CTA. VISTA</t>
        </is>
      </c>
      <c r="I383" t="inlineStr">
        <is>
          <t>CTA. VISTA_CORE_CORE</t>
        </is>
      </c>
      <c r="K383" t="n">
        <v>5</v>
      </c>
      <c r="M383" s="71" t="n">
        <v>46053</v>
      </c>
      <c r="N383" s="71" t="n">
        <v>46053</v>
      </c>
      <c r="O383" s="71" t="n">
        <v>46053</v>
      </c>
      <c r="P383" t="n">
        <v>3744831372.54902</v>
      </c>
      <c r="V383" t="n">
        <v>1</v>
      </c>
      <c r="W383" t="inlineStr">
        <is>
          <t>BALANCE TASAS</t>
        </is>
      </c>
      <c r="Y383" t="inlineStr">
        <is>
          <t>BALANCE TASAS</t>
        </is>
      </c>
      <c r="Z383" t="inlineStr">
        <is>
          <t>HTM</t>
        </is>
      </c>
      <c r="AA383" t="n">
        <v>1</v>
      </c>
    </row>
    <row r="384">
      <c r="A384" s="71" t="n">
        <v>45923</v>
      </c>
      <c r="B384" t="n">
        <v>1</v>
      </c>
      <c r="D384" t="inlineStr">
        <is>
          <t>PAS</t>
        </is>
      </c>
      <c r="E384" t="inlineStr">
        <is>
          <t>CLP</t>
        </is>
      </c>
      <c r="F384" t="inlineStr">
        <is>
          <t>CLP</t>
        </is>
      </c>
      <c r="H384" t="inlineStr">
        <is>
          <t>MT.CTA. VISTA</t>
        </is>
      </c>
      <c r="I384" t="inlineStr">
        <is>
          <t>CTA. VISTA_CORE_CORE</t>
        </is>
      </c>
      <c r="K384" t="n">
        <v>6</v>
      </c>
      <c r="M384" s="71" t="n">
        <v>46081</v>
      </c>
      <c r="N384" s="71" t="n">
        <v>46081</v>
      </c>
      <c r="O384" s="71" t="n">
        <v>46081</v>
      </c>
      <c r="P384" t="n">
        <v>3744831372.54902</v>
      </c>
      <c r="V384" t="n">
        <v>1</v>
      </c>
      <c r="W384" t="inlineStr">
        <is>
          <t>BALANCE TASAS</t>
        </is>
      </c>
      <c r="Y384" t="inlineStr">
        <is>
          <t>BALANCE TASAS</t>
        </is>
      </c>
      <c r="Z384" t="inlineStr">
        <is>
          <t>HTM</t>
        </is>
      </c>
      <c r="AA384" t="n">
        <v>1</v>
      </c>
    </row>
    <row r="385">
      <c r="A385" s="71" t="n">
        <v>45923</v>
      </c>
      <c r="B385" t="n">
        <v>1</v>
      </c>
      <c r="D385" t="inlineStr">
        <is>
          <t>PAS</t>
        </is>
      </c>
      <c r="E385" t="inlineStr">
        <is>
          <t>CLP</t>
        </is>
      </c>
      <c r="F385" t="inlineStr">
        <is>
          <t>CLP</t>
        </is>
      </c>
      <c r="H385" t="inlineStr">
        <is>
          <t>MT.CTA. VISTA</t>
        </is>
      </c>
      <c r="I385" t="inlineStr">
        <is>
          <t>CTA. VISTA_CORE_CORE</t>
        </is>
      </c>
      <c r="K385" t="n">
        <v>7</v>
      </c>
      <c r="M385" s="71" t="n">
        <v>46112</v>
      </c>
      <c r="N385" s="71" t="n">
        <v>46112</v>
      </c>
      <c r="O385" s="71" t="n">
        <v>46112</v>
      </c>
      <c r="P385" t="n">
        <v>3744831372.54902</v>
      </c>
      <c r="V385" t="n">
        <v>1</v>
      </c>
      <c r="W385" t="inlineStr">
        <is>
          <t>BALANCE TASAS</t>
        </is>
      </c>
      <c r="Y385" t="inlineStr">
        <is>
          <t>BALANCE TASAS</t>
        </is>
      </c>
      <c r="Z385" t="inlineStr">
        <is>
          <t>HTM</t>
        </is>
      </c>
      <c r="AA385" t="n">
        <v>1</v>
      </c>
    </row>
    <row r="386">
      <c r="A386" s="71" t="n">
        <v>45923</v>
      </c>
      <c r="B386" t="n">
        <v>1</v>
      </c>
      <c r="D386" t="inlineStr">
        <is>
          <t>PAS</t>
        </is>
      </c>
      <c r="E386" t="inlineStr">
        <is>
          <t>CLP</t>
        </is>
      </c>
      <c r="F386" t="inlineStr">
        <is>
          <t>CLP</t>
        </is>
      </c>
      <c r="H386" t="inlineStr">
        <is>
          <t>MT.CTA. VISTA</t>
        </is>
      </c>
      <c r="I386" t="inlineStr">
        <is>
          <t>CTA. VISTA_CORE_CORE</t>
        </is>
      </c>
      <c r="K386" t="n">
        <v>8</v>
      </c>
      <c r="M386" s="71" t="n">
        <v>46142</v>
      </c>
      <c r="N386" s="71" t="n">
        <v>46142</v>
      </c>
      <c r="O386" s="71" t="n">
        <v>46142</v>
      </c>
      <c r="P386" t="n">
        <v>3744831372.54902</v>
      </c>
      <c r="V386" t="n">
        <v>1</v>
      </c>
      <c r="W386" t="inlineStr">
        <is>
          <t>BALANCE TASAS</t>
        </is>
      </c>
      <c r="Y386" t="inlineStr">
        <is>
          <t>BALANCE TASAS</t>
        </is>
      </c>
      <c r="Z386" t="inlineStr">
        <is>
          <t>HTM</t>
        </is>
      </c>
      <c r="AA386" t="n">
        <v>1</v>
      </c>
    </row>
    <row r="387">
      <c r="A387" s="71" t="n">
        <v>45923</v>
      </c>
      <c r="B387" t="n">
        <v>1</v>
      </c>
      <c r="D387" t="inlineStr">
        <is>
          <t>PAS</t>
        </is>
      </c>
      <c r="E387" t="inlineStr">
        <is>
          <t>CLP</t>
        </is>
      </c>
      <c r="F387" t="inlineStr">
        <is>
          <t>CLP</t>
        </is>
      </c>
      <c r="H387" t="inlineStr">
        <is>
          <t>MT.CTA. VISTA</t>
        </is>
      </c>
      <c r="I387" t="inlineStr">
        <is>
          <t>CTA. VISTA_CORE_CORE</t>
        </is>
      </c>
      <c r="K387" t="n">
        <v>9</v>
      </c>
      <c r="M387" s="71" t="n">
        <v>46173</v>
      </c>
      <c r="N387" s="71" t="n">
        <v>46173</v>
      </c>
      <c r="O387" s="71" t="n">
        <v>46173</v>
      </c>
      <c r="P387" t="n">
        <v>3744831372.54902</v>
      </c>
      <c r="V387" t="n">
        <v>1</v>
      </c>
      <c r="W387" t="inlineStr">
        <is>
          <t>BALANCE TASAS</t>
        </is>
      </c>
      <c r="Y387" t="inlineStr">
        <is>
          <t>BALANCE TASAS</t>
        </is>
      </c>
      <c r="Z387" t="inlineStr">
        <is>
          <t>HTM</t>
        </is>
      </c>
      <c r="AA387" t="n">
        <v>1</v>
      </c>
    </row>
    <row r="388">
      <c r="A388" s="71" t="n">
        <v>45923</v>
      </c>
      <c r="B388" t="n">
        <v>1</v>
      </c>
      <c r="D388" t="inlineStr">
        <is>
          <t>PAS</t>
        </is>
      </c>
      <c r="E388" t="inlineStr">
        <is>
          <t>CLP</t>
        </is>
      </c>
      <c r="F388" t="inlineStr">
        <is>
          <t>CLP</t>
        </is>
      </c>
      <c r="H388" t="inlineStr">
        <is>
          <t>MT.CTA. VISTA</t>
        </is>
      </c>
      <c r="I388" t="inlineStr">
        <is>
          <t>CTA. VISTA_CORE_CORE</t>
        </is>
      </c>
      <c r="K388" t="n">
        <v>10</v>
      </c>
      <c r="M388" s="71" t="n">
        <v>46203</v>
      </c>
      <c r="N388" s="71" t="n">
        <v>46203</v>
      </c>
      <c r="O388" s="71" t="n">
        <v>46203</v>
      </c>
      <c r="P388" t="n">
        <v>3744831372.54902</v>
      </c>
      <c r="V388" t="n">
        <v>1</v>
      </c>
      <c r="W388" t="inlineStr">
        <is>
          <t>BALANCE TASAS</t>
        </is>
      </c>
      <c r="Y388" t="inlineStr">
        <is>
          <t>BALANCE TASAS</t>
        </is>
      </c>
      <c r="Z388" t="inlineStr">
        <is>
          <t>HTM</t>
        </is>
      </c>
      <c r="AA388" t="n">
        <v>1</v>
      </c>
    </row>
    <row r="389">
      <c r="A389" s="71" t="n">
        <v>45923</v>
      </c>
      <c r="B389" t="n">
        <v>1</v>
      </c>
      <c r="D389" t="inlineStr">
        <is>
          <t>PAS</t>
        </is>
      </c>
      <c r="E389" t="inlineStr">
        <is>
          <t>CLP</t>
        </is>
      </c>
      <c r="F389" t="inlineStr">
        <is>
          <t>CLP</t>
        </is>
      </c>
      <c r="H389" t="inlineStr">
        <is>
          <t>MT.CTA. VISTA</t>
        </is>
      </c>
      <c r="I389" t="inlineStr">
        <is>
          <t>CTA. VISTA_CORE_CORE</t>
        </is>
      </c>
      <c r="K389" t="n">
        <v>11</v>
      </c>
      <c r="M389" s="71" t="n">
        <v>46234</v>
      </c>
      <c r="N389" s="71" t="n">
        <v>46234</v>
      </c>
      <c r="O389" s="71" t="n">
        <v>46234</v>
      </c>
      <c r="P389" t="n">
        <v>3744831372.54902</v>
      </c>
      <c r="V389" t="n">
        <v>1</v>
      </c>
      <c r="W389" t="inlineStr">
        <is>
          <t>BALANCE TASAS</t>
        </is>
      </c>
      <c r="Y389" t="inlineStr">
        <is>
          <t>BALANCE TASAS</t>
        </is>
      </c>
      <c r="Z389" t="inlineStr">
        <is>
          <t>HTM</t>
        </is>
      </c>
      <c r="AA389" t="n">
        <v>1</v>
      </c>
    </row>
    <row r="390">
      <c r="A390" s="71" t="n">
        <v>45923</v>
      </c>
      <c r="B390" t="n">
        <v>1</v>
      </c>
      <c r="D390" t="inlineStr">
        <is>
          <t>PAS</t>
        </is>
      </c>
      <c r="E390" t="inlineStr">
        <is>
          <t>CLP</t>
        </is>
      </c>
      <c r="F390" t="inlineStr">
        <is>
          <t>CLP</t>
        </is>
      </c>
      <c r="H390" t="inlineStr">
        <is>
          <t>MT.CTA. VISTA</t>
        </is>
      </c>
      <c r="I390" t="inlineStr">
        <is>
          <t>CTA. VISTA_CORE_CORE</t>
        </is>
      </c>
      <c r="K390" t="n">
        <v>12</v>
      </c>
      <c r="M390" s="71" t="n">
        <v>46265</v>
      </c>
      <c r="N390" s="71" t="n">
        <v>46265</v>
      </c>
      <c r="O390" s="71" t="n">
        <v>46265</v>
      </c>
      <c r="P390" t="n">
        <v>3744831372.54902</v>
      </c>
      <c r="V390" t="n">
        <v>1</v>
      </c>
      <c r="W390" t="inlineStr">
        <is>
          <t>BALANCE TASAS</t>
        </is>
      </c>
      <c r="Y390" t="inlineStr">
        <is>
          <t>BALANCE TASAS</t>
        </is>
      </c>
      <c r="Z390" t="inlineStr">
        <is>
          <t>HTM</t>
        </is>
      </c>
      <c r="AA390" t="n">
        <v>1</v>
      </c>
    </row>
    <row r="391">
      <c r="A391" s="71" t="n">
        <v>45923</v>
      </c>
      <c r="B391" t="n">
        <v>1</v>
      </c>
      <c r="D391" t="inlineStr">
        <is>
          <t>PAS</t>
        </is>
      </c>
      <c r="E391" t="inlineStr">
        <is>
          <t>CLP</t>
        </is>
      </c>
      <c r="F391" t="inlineStr">
        <is>
          <t>CLP</t>
        </is>
      </c>
      <c r="H391" t="inlineStr">
        <is>
          <t>MT.CTA. VISTA</t>
        </is>
      </c>
      <c r="I391" t="inlineStr">
        <is>
          <t>CTA. VISTA_CORE_CORE</t>
        </is>
      </c>
      <c r="K391" t="n">
        <v>13</v>
      </c>
      <c r="M391" s="71" t="n">
        <v>46295</v>
      </c>
      <c r="N391" s="71" t="n">
        <v>46295</v>
      </c>
      <c r="O391" s="71" t="n">
        <v>46295</v>
      </c>
      <c r="P391" t="n">
        <v>3744831372.54902</v>
      </c>
      <c r="V391" t="n">
        <v>1</v>
      </c>
      <c r="W391" t="inlineStr">
        <is>
          <t>BALANCE TASAS</t>
        </is>
      </c>
      <c r="Y391" t="inlineStr">
        <is>
          <t>BALANCE TASAS</t>
        </is>
      </c>
      <c r="Z391" t="inlineStr">
        <is>
          <t>HTM</t>
        </is>
      </c>
      <c r="AA391" t="n">
        <v>1</v>
      </c>
    </row>
    <row r="392">
      <c r="A392" s="71" t="n">
        <v>45923</v>
      </c>
      <c r="B392" t="n">
        <v>1</v>
      </c>
      <c r="D392" t="inlineStr">
        <is>
          <t>PAS</t>
        </is>
      </c>
      <c r="E392" t="inlineStr">
        <is>
          <t>CLP</t>
        </is>
      </c>
      <c r="F392" t="inlineStr">
        <is>
          <t>CLP</t>
        </is>
      </c>
      <c r="H392" t="inlineStr">
        <is>
          <t>MT.CTA. VISTA</t>
        </is>
      </c>
      <c r="I392" t="inlineStr">
        <is>
          <t>CTA. VISTA_CORE_CORE</t>
        </is>
      </c>
      <c r="K392" t="n">
        <v>14</v>
      </c>
      <c r="M392" s="71" t="n">
        <v>46326</v>
      </c>
      <c r="N392" s="71" t="n">
        <v>46326</v>
      </c>
      <c r="O392" s="71" t="n">
        <v>46326</v>
      </c>
      <c r="P392" t="n">
        <v>3744831372.54902</v>
      </c>
      <c r="V392" t="n">
        <v>1</v>
      </c>
      <c r="W392" t="inlineStr">
        <is>
          <t>BALANCE TASAS</t>
        </is>
      </c>
      <c r="Y392" t="inlineStr">
        <is>
          <t>BALANCE TASAS</t>
        </is>
      </c>
      <c r="Z392" t="inlineStr">
        <is>
          <t>HTM</t>
        </is>
      </c>
      <c r="AA392" t="n">
        <v>1</v>
      </c>
    </row>
    <row r="393">
      <c r="A393" s="71" t="n">
        <v>45923</v>
      </c>
      <c r="B393" t="n">
        <v>1</v>
      </c>
      <c r="D393" t="inlineStr">
        <is>
          <t>PAS</t>
        </is>
      </c>
      <c r="E393" t="inlineStr">
        <is>
          <t>CLP</t>
        </is>
      </c>
      <c r="F393" t="inlineStr">
        <is>
          <t>CLP</t>
        </is>
      </c>
      <c r="H393" t="inlineStr">
        <is>
          <t>MT.CTA. VISTA</t>
        </is>
      </c>
      <c r="I393" t="inlineStr">
        <is>
          <t>CTA. VISTA_CORE_CORE</t>
        </is>
      </c>
      <c r="K393" t="n">
        <v>15</v>
      </c>
      <c r="M393" s="71" t="n">
        <v>46356</v>
      </c>
      <c r="N393" s="71" t="n">
        <v>46356</v>
      </c>
      <c r="O393" s="71" t="n">
        <v>46356</v>
      </c>
      <c r="P393" t="n">
        <v>3744831372.54902</v>
      </c>
      <c r="V393" t="n">
        <v>1</v>
      </c>
      <c r="W393" t="inlineStr">
        <is>
          <t>BALANCE TASAS</t>
        </is>
      </c>
      <c r="Y393" t="inlineStr">
        <is>
          <t>BALANCE TASAS</t>
        </is>
      </c>
      <c r="Z393" t="inlineStr">
        <is>
          <t>HTM</t>
        </is>
      </c>
      <c r="AA393" t="n">
        <v>1</v>
      </c>
    </row>
    <row r="394">
      <c r="A394" s="71" t="n">
        <v>45923</v>
      </c>
      <c r="B394" t="n">
        <v>1</v>
      </c>
      <c r="D394" t="inlineStr">
        <is>
          <t>PAS</t>
        </is>
      </c>
      <c r="E394" t="inlineStr">
        <is>
          <t>CLP</t>
        </is>
      </c>
      <c r="F394" t="inlineStr">
        <is>
          <t>CLP</t>
        </is>
      </c>
      <c r="H394" t="inlineStr">
        <is>
          <t>MT.CTA. VISTA</t>
        </is>
      </c>
      <c r="I394" t="inlineStr">
        <is>
          <t>CTA. VISTA_CORE_CORE</t>
        </is>
      </c>
      <c r="K394" t="n">
        <v>16</v>
      </c>
      <c r="M394" s="71" t="n">
        <v>46387</v>
      </c>
      <c r="N394" s="71" t="n">
        <v>46387</v>
      </c>
      <c r="O394" s="71" t="n">
        <v>46387</v>
      </c>
      <c r="P394" t="n">
        <v>3744831372.54902</v>
      </c>
      <c r="V394" t="n">
        <v>1</v>
      </c>
      <c r="W394" t="inlineStr">
        <is>
          <t>BALANCE TASAS</t>
        </is>
      </c>
      <c r="Y394" t="inlineStr">
        <is>
          <t>BALANCE TASAS</t>
        </is>
      </c>
      <c r="Z394" t="inlineStr">
        <is>
          <t>HTM</t>
        </is>
      </c>
      <c r="AA394" t="n">
        <v>1</v>
      </c>
    </row>
    <row r="395">
      <c r="A395" s="71" t="n">
        <v>45923</v>
      </c>
      <c r="B395" t="n">
        <v>1</v>
      </c>
      <c r="D395" t="inlineStr">
        <is>
          <t>PAS</t>
        </is>
      </c>
      <c r="E395" t="inlineStr">
        <is>
          <t>CLP</t>
        </is>
      </c>
      <c r="F395" t="inlineStr">
        <is>
          <t>CLP</t>
        </is>
      </c>
      <c r="H395" t="inlineStr">
        <is>
          <t>MT.CTA. VISTA</t>
        </is>
      </c>
      <c r="I395" t="inlineStr">
        <is>
          <t>CTA. VISTA_CORE_CORE</t>
        </is>
      </c>
      <c r="K395" t="n">
        <v>17</v>
      </c>
      <c r="M395" s="71" t="n">
        <v>46418</v>
      </c>
      <c r="N395" s="71" t="n">
        <v>46418</v>
      </c>
      <c r="O395" s="71" t="n">
        <v>46418</v>
      </c>
      <c r="P395" t="n">
        <v>3744831372.54902</v>
      </c>
      <c r="V395" t="n">
        <v>1</v>
      </c>
      <c r="W395" t="inlineStr">
        <is>
          <t>BALANCE TASAS</t>
        </is>
      </c>
      <c r="Y395" t="inlineStr">
        <is>
          <t>BALANCE TASAS</t>
        </is>
      </c>
      <c r="Z395" t="inlineStr">
        <is>
          <t>HTM</t>
        </is>
      </c>
      <c r="AA395" t="n">
        <v>1</v>
      </c>
    </row>
    <row r="396">
      <c r="A396" s="71" t="n">
        <v>45923</v>
      </c>
      <c r="B396" t="n">
        <v>1</v>
      </c>
      <c r="D396" t="inlineStr">
        <is>
          <t>PAS</t>
        </is>
      </c>
      <c r="E396" t="inlineStr">
        <is>
          <t>CLP</t>
        </is>
      </c>
      <c r="F396" t="inlineStr">
        <is>
          <t>CLP</t>
        </is>
      </c>
      <c r="H396" t="inlineStr">
        <is>
          <t>MT.CTA. VISTA</t>
        </is>
      </c>
      <c r="I396" t="inlineStr">
        <is>
          <t>CTA. VISTA_CORE_CORE</t>
        </is>
      </c>
      <c r="K396" t="n">
        <v>18</v>
      </c>
      <c r="M396" s="71" t="n">
        <v>46446</v>
      </c>
      <c r="N396" s="71" t="n">
        <v>46446</v>
      </c>
      <c r="O396" s="71" t="n">
        <v>46446</v>
      </c>
      <c r="P396" t="n">
        <v>3744831372.54902</v>
      </c>
      <c r="V396" t="n">
        <v>1</v>
      </c>
      <c r="W396" t="inlineStr">
        <is>
          <t>BALANCE TASAS</t>
        </is>
      </c>
      <c r="Y396" t="inlineStr">
        <is>
          <t>BALANCE TASAS</t>
        </is>
      </c>
      <c r="Z396" t="inlineStr">
        <is>
          <t>HTM</t>
        </is>
      </c>
      <c r="AA396" t="n">
        <v>1</v>
      </c>
    </row>
    <row r="397">
      <c r="A397" s="71" t="n">
        <v>45923</v>
      </c>
      <c r="B397" t="n">
        <v>1</v>
      </c>
      <c r="D397" t="inlineStr">
        <is>
          <t>PAS</t>
        </is>
      </c>
      <c r="E397" t="inlineStr">
        <is>
          <t>CLP</t>
        </is>
      </c>
      <c r="F397" t="inlineStr">
        <is>
          <t>CLP</t>
        </is>
      </c>
      <c r="H397" t="inlineStr">
        <is>
          <t>MT.CTA. VISTA</t>
        </is>
      </c>
      <c r="I397" t="inlineStr">
        <is>
          <t>CTA. VISTA_CORE_CORE</t>
        </is>
      </c>
      <c r="K397" t="n">
        <v>19</v>
      </c>
      <c r="M397" s="71" t="n">
        <v>46477</v>
      </c>
      <c r="N397" s="71" t="n">
        <v>46477</v>
      </c>
      <c r="O397" s="71" t="n">
        <v>46477</v>
      </c>
      <c r="P397" t="n">
        <v>3744831372.54902</v>
      </c>
      <c r="V397" t="n">
        <v>1</v>
      </c>
      <c r="W397" t="inlineStr">
        <is>
          <t>BALANCE TASAS</t>
        </is>
      </c>
      <c r="Y397" t="inlineStr">
        <is>
          <t>BALANCE TASAS</t>
        </is>
      </c>
      <c r="Z397" t="inlineStr">
        <is>
          <t>HTM</t>
        </is>
      </c>
      <c r="AA397" t="n">
        <v>1</v>
      </c>
    </row>
    <row r="398">
      <c r="A398" s="71" t="n">
        <v>45923</v>
      </c>
      <c r="B398" t="n">
        <v>1</v>
      </c>
      <c r="D398" t="inlineStr">
        <is>
          <t>PAS</t>
        </is>
      </c>
      <c r="E398" t="inlineStr">
        <is>
          <t>CLP</t>
        </is>
      </c>
      <c r="F398" t="inlineStr">
        <is>
          <t>CLP</t>
        </is>
      </c>
      <c r="H398" t="inlineStr">
        <is>
          <t>MT.CTA. VISTA</t>
        </is>
      </c>
      <c r="I398" t="inlineStr">
        <is>
          <t>CTA. VISTA_CORE_CORE</t>
        </is>
      </c>
      <c r="K398" t="n">
        <v>20</v>
      </c>
      <c r="M398" s="71" t="n">
        <v>46507</v>
      </c>
      <c r="N398" s="71" t="n">
        <v>46507</v>
      </c>
      <c r="O398" s="71" t="n">
        <v>46507</v>
      </c>
      <c r="P398" t="n">
        <v>3744831372.54902</v>
      </c>
      <c r="V398" t="n">
        <v>1</v>
      </c>
      <c r="W398" t="inlineStr">
        <is>
          <t>BALANCE TASAS</t>
        </is>
      </c>
      <c r="Y398" t="inlineStr">
        <is>
          <t>BALANCE TASAS</t>
        </is>
      </c>
      <c r="Z398" t="inlineStr">
        <is>
          <t>HTM</t>
        </is>
      </c>
      <c r="AA398" t="n">
        <v>1</v>
      </c>
    </row>
    <row r="399">
      <c r="A399" s="71" t="n">
        <v>45923</v>
      </c>
      <c r="B399" t="n">
        <v>1</v>
      </c>
      <c r="D399" t="inlineStr">
        <is>
          <t>PAS</t>
        </is>
      </c>
      <c r="E399" t="inlineStr">
        <is>
          <t>CLP</t>
        </is>
      </c>
      <c r="F399" t="inlineStr">
        <is>
          <t>CLP</t>
        </is>
      </c>
      <c r="H399" t="inlineStr">
        <is>
          <t>MT.CTA. VISTA</t>
        </is>
      </c>
      <c r="I399" t="inlineStr">
        <is>
          <t>CTA. VISTA_CORE_CORE</t>
        </is>
      </c>
      <c r="K399" t="n">
        <v>21</v>
      </c>
      <c r="M399" s="71" t="n">
        <v>46538</v>
      </c>
      <c r="N399" s="71" t="n">
        <v>46538</v>
      </c>
      <c r="O399" s="71" t="n">
        <v>46538</v>
      </c>
      <c r="P399" t="n">
        <v>3744831372.54902</v>
      </c>
      <c r="V399" t="n">
        <v>1</v>
      </c>
      <c r="W399" t="inlineStr">
        <is>
          <t>BALANCE TASAS</t>
        </is>
      </c>
      <c r="Y399" t="inlineStr">
        <is>
          <t>BALANCE TASAS</t>
        </is>
      </c>
      <c r="Z399" t="inlineStr">
        <is>
          <t>HTM</t>
        </is>
      </c>
      <c r="AA399" t="n">
        <v>1</v>
      </c>
    </row>
    <row r="400">
      <c r="A400" s="71" t="n">
        <v>45923</v>
      </c>
      <c r="B400" t="n">
        <v>1</v>
      </c>
      <c r="D400" t="inlineStr">
        <is>
          <t>PAS</t>
        </is>
      </c>
      <c r="E400" t="inlineStr">
        <is>
          <t>CLP</t>
        </is>
      </c>
      <c r="F400" t="inlineStr">
        <is>
          <t>CLP</t>
        </is>
      </c>
      <c r="H400" t="inlineStr">
        <is>
          <t>MT.CTA. VISTA</t>
        </is>
      </c>
      <c r="I400" t="inlineStr">
        <is>
          <t>CTA. VISTA_CORE_CORE</t>
        </is>
      </c>
      <c r="K400" t="n">
        <v>22</v>
      </c>
      <c r="M400" s="71" t="n">
        <v>46568</v>
      </c>
      <c r="N400" s="71" t="n">
        <v>46568</v>
      </c>
      <c r="O400" s="71" t="n">
        <v>46568</v>
      </c>
      <c r="P400" t="n">
        <v>3744831372.54902</v>
      </c>
      <c r="V400" t="n">
        <v>1</v>
      </c>
      <c r="W400" t="inlineStr">
        <is>
          <t>BALANCE TASAS</t>
        </is>
      </c>
      <c r="Y400" t="inlineStr">
        <is>
          <t>BALANCE TASAS</t>
        </is>
      </c>
      <c r="Z400" t="inlineStr">
        <is>
          <t>HTM</t>
        </is>
      </c>
      <c r="AA400" t="n">
        <v>1</v>
      </c>
    </row>
    <row r="401">
      <c r="A401" s="71" t="n">
        <v>45923</v>
      </c>
      <c r="B401" t="n">
        <v>1</v>
      </c>
      <c r="D401" t="inlineStr">
        <is>
          <t>PAS</t>
        </is>
      </c>
      <c r="E401" t="inlineStr">
        <is>
          <t>CLP</t>
        </is>
      </c>
      <c r="F401" t="inlineStr">
        <is>
          <t>CLP</t>
        </is>
      </c>
      <c r="H401" t="inlineStr">
        <is>
          <t>MT.CTA. VISTA</t>
        </is>
      </c>
      <c r="I401" t="inlineStr">
        <is>
          <t>CTA. VISTA_CORE_CORE</t>
        </is>
      </c>
      <c r="K401" t="n">
        <v>23</v>
      </c>
      <c r="M401" s="71" t="n">
        <v>46599</v>
      </c>
      <c r="N401" s="71" t="n">
        <v>46599</v>
      </c>
      <c r="O401" s="71" t="n">
        <v>46599</v>
      </c>
      <c r="P401" t="n">
        <v>3744831372.54902</v>
      </c>
      <c r="V401" t="n">
        <v>1</v>
      </c>
      <c r="W401" t="inlineStr">
        <is>
          <t>BALANCE TASAS</t>
        </is>
      </c>
      <c r="Y401" t="inlineStr">
        <is>
          <t>BALANCE TASAS</t>
        </is>
      </c>
      <c r="Z401" t="inlineStr">
        <is>
          <t>HTM</t>
        </is>
      </c>
      <c r="AA401" t="n">
        <v>1</v>
      </c>
    </row>
    <row r="402">
      <c r="A402" s="71" t="n">
        <v>45923</v>
      </c>
      <c r="B402" t="n">
        <v>1</v>
      </c>
      <c r="D402" t="inlineStr">
        <is>
          <t>PAS</t>
        </is>
      </c>
      <c r="E402" t="inlineStr">
        <is>
          <t>CLP</t>
        </is>
      </c>
      <c r="F402" t="inlineStr">
        <is>
          <t>CLP</t>
        </is>
      </c>
      <c r="H402" t="inlineStr">
        <is>
          <t>MT.CTA. VISTA</t>
        </is>
      </c>
      <c r="I402" t="inlineStr">
        <is>
          <t>CTA. VISTA_CORE_CORE</t>
        </is>
      </c>
      <c r="K402" t="n">
        <v>24</v>
      </c>
      <c r="M402" s="71" t="n">
        <v>46630</v>
      </c>
      <c r="N402" s="71" t="n">
        <v>46630</v>
      </c>
      <c r="O402" s="71" t="n">
        <v>46630</v>
      </c>
      <c r="P402" t="n">
        <v>3744831372.54902</v>
      </c>
      <c r="V402" t="n">
        <v>1</v>
      </c>
      <c r="W402" t="inlineStr">
        <is>
          <t>BALANCE TASAS</t>
        </is>
      </c>
      <c r="Y402" t="inlineStr">
        <is>
          <t>BALANCE TASAS</t>
        </is>
      </c>
      <c r="Z402" t="inlineStr">
        <is>
          <t>HTM</t>
        </is>
      </c>
      <c r="AA402" t="n">
        <v>1</v>
      </c>
    </row>
    <row r="403">
      <c r="A403" s="71" t="n">
        <v>45923</v>
      </c>
      <c r="B403" t="n">
        <v>1</v>
      </c>
      <c r="D403" t="inlineStr">
        <is>
          <t>PAS</t>
        </is>
      </c>
      <c r="E403" t="inlineStr">
        <is>
          <t>CLP</t>
        </is>
      </c>
      <c r="F403" t="inlineStr">
        <is>
          <t>CLP</t>
        </is>
      </c>
      <c r="H403" t="inlineStr">
        <is>
          <t>MT.CTA. VISTA</t>
        </is>
      </c>
      <c r="I403" t="inlineStr">
        <is>
          <t>CTA. VISTA_CORE_CORE</t>
        </is>
      </c>
      <c r="K403" t="n">
        <v>25</v>
      </c>
      <c r="M403" s="71" t="n">
        <v>46660</v>
      </c>
      <c r="N403" s="71" t="n">
        <v>46660</v>
      </c>
      <c r="O403" s="71" t="n">
        <v>46660</v>
      </c>
      <c r="P403" t="n">
        <v>3744831372.54902</v>
      </c>
      <c r="V403" t="n">
        <v>1</v>
      </c>
      <c r="W403" t="inlineStr">
        <is>
          <t>BALANCE TASAS</t>
        </is>
      </c>
      <c r="Y403" t="inlineStr">
        <is>
          <t>BALANCE TASAS</t>
        </is>
      </c>
      <c r="Z403" t="inlineStr">
        <is>
          <t>HTM</t>
        </is>
      </c>
      <c r="AA403" t="n">
        <v>1</v>
      </c>
    </row>
    <row r="404">
      <c r="A404" s="71" t="n">
        <v>45923</v>
      </c>
      <c r="B404" t="n">
        <v>1</v>
      </c>
      <c r="D404" t="inlineStr">
        <is>
          <t>PAS</t>
        </is>
      </c>
      <c r="E404" t="inlineStr">
        <is>
          <t>CLP</t>
        </is>
      </c>
      <c r="F404" t="inlineStr">
        <is>
          <t>CLP</t>
        </is>
      </c>
      <c r="H404" t="inlineStr">
        <is>
          <t>MT.CTA. VISTA</t>
        </is>
      </c>
      <c r="I404" t="inlineStr">
        <is>
          <t>CTA. VISTA_CORE_CORE</t>
        </is>
      </c>
      <c r="K404" t="n">
        <v>26</v>
      </c>
      <c r="M404" s="71" t="n">
        <v>46691</v>
      </c>
      <c r="N404" s="71" t="n">
        <v>46691</v>
      </c>
      <c r="O404" s="71" t="n">
        <v>46691</v>
      </c>
      <c r="P404" t="n">
        <v>3744831372.54902</v>
      </c>
      <c r="V404" t="n">
        <v>1</v>
      </c>
      <c r="W404" t="inlineStr">
        <is>
          <t>BALANCE TASAS</t>
        </is>
      </c>
      <c r="Y404" t="inlineStr">
        <is>
          <t>BALANCE TASAS</t>
        </is>
      </c>
      <c r="Z404" t="inlineStr">
        <is>
          <t>HTM</t>
        </is>
      </c>
      <c r="AA404" t="n">
        <v>1</v>
      </c>
    </row>
    <row r="405">
      <c r="A405" s="71" t="n">
        <v>45923</v>
      </c>
      <c r="B405" t="n">
        <v>1</v>
      </c>
      <c r="D405" t="inlineStr">
        <is>
          <t>PAS</t>
        </is>
      </c>
      <c r="E405" t="inlineStr">
        <is>
          <t>CLP</t>
        </is>
      </c>
      <c r="F405" t="inlineStr">
        <is>
          <t>CLP</t>
        </is>
      </c>
      <c r="H405" t="inlineStr">
        <is>
          <t>MT.CTA. VISTA</t>
        </is>
      </c>
      <c r="I405" t="inlineStr">
        <is>
          <t>CTA. VISTA_CORE_CORE</t>
        </is>
      </c>
      <c r="K405" t="n">
        <v>27</v>
      </c>
      <c r="M405" s="71" t="n">
        <v>46721</v>
      </c>
      <c r="N405" s="71" t="n">
        <v>46721</v>
      </c>
      <c r="O405" s="71" t="n">
        <v>46721</v>
      </c>
      <c r="P405" t="n">
        <v>3744831372.54902</v>
      </c>
      <c r="V405" t="n">
        <v>1</v>
      </c>
      <c r="W405" t="inlineStr">
        <is>
          <t>BALANCE TASAS</t>
        </is>
      </c>
      <c r="Y405" t="inlineStr">
        <is>
          <t>BALANCE TASAS</t>
        </is>
      </c>
      <c r="Z405" t="inlineStr">
        <is>
          <t>HTM</t>
        </is>
      </c>
      <c r="AA405" t="n">
        <v>1</v>
      </c>
    </row>
    <row r="406">
      <c r="A406" s="71" t="n">
        <v>45923</v>
      </c>
      <c r="B406" t="n">
        <v>1</v>
      </c>
      <c r="D406" t="inlineStr">
        <is>
          <t>PAS</t>
        </is>
      </c>
      <c r="E406" t="inlineStr">
        <is>
          <t>CLP</t>
        </is>
      </c>
      <c r="F406" t="inlineStr">
        <is>
          <t>CLP</t>
        </is>
      </c>
      <c r="H406" t="inlineStr">
        <is>
          <t>MT.CTA. VISTA</t>
        </is>
      </c>
      <c r="I406" t="inlineStr">
        <is>
          <t>CTA. VISTA_CORE_CORE</t>
        </is>
      </c>
      <c r="K406" t="n">
        <v>28</v>
      </c>
      <c r="M406" s="71" t="n">
        <v>46752</v>
      </c>
      <c r="N406" s="71" t="n">
        <v>46752</v>
      </c>
      <c r="O406" s="71" t="n">
        <v>46752</v>
      </c>
      <c r="P406" t="n">
        <v>3744831372.54902</v>
      </c>
      <c r="V406" t="n">
        <v>1</v>
      </c>
      <c r="W406" t="inlineStr">
        <is>
          <t>BALANCE TASAS</t>
        </is>
      </c>
      <c r="Y406" t="inlineStr">
        <is>
          <t>BALANCE TASAS</t>
        </is>
      </c>
      <c r="Z406" t="inlineStr">
        <is>
          <t>HTM</t>
        </is>
      </c>
      <c r="AA406" t="n">
        <v>1</v>
      </c>
    </row>
    <row r="407">
      <c r="A407" s="71" t="n">
        <v>45923</v>
      </c>
      <c r="B407" t="n">
        <v>1</v>
      </c>
      <c r="D407" t="inlineStr">
        <is>
          <t>PAS</t>
        </is>
      </c>
      <c r="E407" t="inlineStr">
        <is>
          <t>CLP</t>
        </is>
      </c>
      <c r="F407" t="inlineStr">
        <is>
          <t>CLP</t>
        </is>
      </c>
      <c r="H407" t="inlineStr">
        <is>
          <t>MT.CTA. VISTA</t>
        </is>
      </c>
      <c r="I407" t="inlineStr">
        <is>
          <t>CTA. VISTA_CORE_CORE</t>
        </is>
      </c>
      <c r="K407" t="n">
        <v>29</v>
      </c>
      <c r="M407" s="71" t="n">
        <v>46783</v>
      </c>
      <c r="N407" s="71" t="n">
        <v>46783</v>
      </c>
      <c r="O407" s="71" t="n">
        <v>46783</v>
      </c>
      <c r="P407" t="n">
        <v>3744831372.54902</v>
      </c>
      <c r="V407" t="n">
        <v>1</v>
      </c>
      <c r="W407" t="inlineStr">
        <is>
          <t>BALANCE TASAS</t>
        </is>
      </c>
      <c r="Y407" t="inlineStr">
        <is>
          <t>BALANCE TASAS</t>
        </is>
      </c>
      <c r="Z407" t="inlineStr">
        <is>
          <t>HTM</t>
        </is>
      </c>
      <c r="AA407" t="n">
        <v>1</v>
      </c>
    </row>
    <row r="408">
      <c r="A408" s="71" t="n">
        <v>45923</v>
      </c>
      <c r="B408" t="n">
        <v>1</v>
      </c>
      <c r="D408" t="inlineStr">
        <is>
          <t>PAS</t>
        </is>
      </c>
      <c r="E408" t="inlineStr">
        <is>
          <t>CLP</t>
        </is>
      </c>
      <c r="F408" t="inlineStr">
        <is>
          <t>CLP</t>
        </is>
      </c>
      <c r="H408" t="inlineStr">
        <is>
          <t>MT.CTA. VISTA</t>
        </is>
      </c>
      <c r="I408" t="inlineStr">
        <is>
          <t>CTA. VISTA_CORE_CORE</t>
        </is>
      </c>
      <c r="K408" t="n">
        <v>30</v>
      </c>
      <c r="M408" s="71" t="n">
        <v>46812</v>
      </c>
      <c r="N408" s="71" t="n">
        <v>46812</v>
      </c>
      <c r="O408" s="71" t="n">
        <v>46812</v>
      </c>
      <c r="P408" t="n">
        <v>3744831372.54902</v>
      </c>
      <c r="V408" t="n">
        <v>1</v>
      </c>
      <c r="W408" t="inlineStr">
        <is>
          <t>BALANCE TASAS</t>
        </is>
      </c>
      <c r="Y408" t="inlineStr">
        <is>
          <t>BALANCE TASAS</t>
        </is>
      </c>
      <c r="Z408" t="inlineStr">
        <is>
          <t>HTM</t>
        </is>
      </c>
      <c r="AA408" t="n">
        <v>1</v>
      </c>
    </row>
    <row r="409">
      <c r="A409" s="71" t="n">
        <v>45923</v>
      </c>
      <c r="B409" t="n">
        <v>1</v>
      </c>
      <c r="D409" t="inlineStr">
        <is>
          <t>PAS</t>
        </is>
      </c>
      <c r="E409" t="inlineStr">
        <is>
          <t>CLP</t>
        </is>
      </c>
      <c r="F409" t="inlineStr">
        <is>
          <t>CLP</t>
        </is>
      </c>
      <c r="H409" t="inlineStr">
        <is>
          <t>MT.CTA. VISTA</t>
        </is>
      </c>
      <c r="I409" t="inlineStr">
        <is>
          <t>CTA. VISTA_CORE_CORE</t>
        </is>
      </c>
      <c r="K409" t="n">
        <v>31</v>
      </c>
      <c r="M409" s="71" t="n">
        <v>46843</v>
      </c>
      <c r="N409" s="71" t="n">
        <v>46843</v>
      </c>
      <c r="O409" s="71" t="n">
        <v>46843</v>
      </c>
      <c r="P409" t="n">
        <v>3744831372.54902</v>
      </c>
      <c r="V409" t="n">
        <v>1</v>
      </c>
      <c r="W409" t="inlineStr">
        <is>
          <t>BALANCE TASAS</t>
        </is>
      </c>
      <c r="Y409" t="inlineStr">
        <is>
          <t>BALANCE TASAS</t>
        </is>
      </c>
      <c r="Z409" t="inlineStr">
        <is>
          <t>HTM</t>
        </is>
      </c>
      <c r="AA409" t="n">
        <v>1</v>
      </c>
    </row>
    <row r="410">
      <c r="A410" s="71" t="n">
        <v>45923</v>
      </c>
      <c r="B410" t="n">
        <v>1</v>
      </c>
      <c r="D410" t="inlineStr">
        <is>
          <t>PAS</t>
        </is>
      </c>
      <c r="E410" t="inlineStr">
        <is>
          <t>CLP</t>
        </is>
      </c>
      <c r="F410" t="inlineStr">
        <is>
          <t>CLP</t>
        </is>
      </c>
      <c r="H410" t="inlineStr">
        <is>
          <t>MT.CTA. VISTA</t>
        </is>
      </c>
      <c r="I410" t="inlineStr">
        <is>
          <t>CTA. VISTA_CORE_CORE</t>
        </is>
      </c>
      <c r="K410" t="n">
        <v>32</v>
      </c>
      <c r="M410" s="71" t="n">
        <v>46873</v>
      </c>
      <c r="N410" s="71" t="n">
        <v>46873</v>
      </c>
      <c r="O410" s="71" t="n">
        <v>46873</v>
      </c>
      <c r="P410" t="n">
        <v>3744831372.54902</v>
      </c>
      <c r="V410" t="n">
        <v>1</v>
      </c>
      <c r="W410" t="inlineStr">
        <is>
          <t>BALANCE TASAS</t>
        </is>
      </c>
      <c r="Y410" t="inlineStr">
        <is>
          <t>BALANCE TASAS</t>
        </is>
      </c>
      <c r="Z410" t="inlineStr">
        <is>
          <t>HTM</t>
        </is>
      </c>
      <c r="AA410" t="n">
        <v>1</v>
      </c>
    </row>
    <row r="411">
      <c r="A411" s="71" t="n">
        <v>45923</v>
      </c>
      <c r="B411" t="n">
        <v>1</v>
      </c>
      <c r="D411" t="inlineStr">
        <is>
          <t>PAS</t>
        </is>
      </c>
      <c r="E411" t="inlineStr">
        <is>
          <t>CLP</t>
        </is>
      </c>
      <c r="F411" t="inlineStr">
        <is>
          <t>CLP</t>
        </is>
      </c>
      <c r="H411" t="inlineStr">
        <is>
          <t>MT.CTA. VISTA</t>
        </is>
      </c>
      <c r="I411" t="inlineStr">
        <is>
          <t>CTA. VISTA_CORE_CORE</t>
        </is>
      </c>
      <c r="K411" t="n">
        <v>33</v>
      </c>
      <c r="M411" s="71" t="n">
        <v>46904</v>
      </c>
      <c r="N411" s="71" t="n">
        <v>46904</v>
      </c>
      <c r="O411" s="71" t="n">
        <v>46904</v>
      </c>
      <c r="P411" t="n">
        <v>3744831372.54902</v>
      </c>
      <c r="V411" t="n">
        <v>1</v>
      </c>
      <c r="W411" t="inlineStr">
        <is>
          <t>BALANCE TASAS</t>
        </is>
      </c>
      <c r="Y411" t="inlineStr">
        <is>
          <t>BALANCE TASAS</t>
        </is>
      </c>
      <c r="Z411" t="inlineStr">
        <is>
          <t>HTM</t>
        </is>
      </c>
      <c r="AA411" t="n">
        <v>1</v>
      </c>
    </row>
    <row r="412">
      <c r="A412" s="71" t="n">
        <v>45923</v>
      </c>
      <c r="B412" t="n">
        <v>1</v>
      </c>
      <c r="D412" t="inlineStr">
        <is>
          <t>PAS</t>
        </is>
      </c>
      <c r="E412" t="inlineStr">
        <is>
          <t>CLP</t>
        </is>
      </c>
      <c r="F412" t="inlineStr">
        <is>
          <t>CLP</t>
        </is>
      </c>
      <c r="H412" t="inlineStr">
        <is>
          <t>MT.CTA. VISTA</t>
        </is>
      </c>
      <c r="I412" t="inlineStr">
        <is>
          <t>CTA. VISTA_CORE_CORE</t>
        </is>
      </c>
      <c r="K412" t="n">
        <v>34</v>
      </c>
      <c r="M412" s="71" t="n">
        <v>46934</v>
      </c>
      <c r="N412" s="71" t="n">
        <v>46934</v>
      </c>
      <c r="O412" s="71" t="n">
        <v>46934</v>
      </c>
      <c r="P412" t="n">
        <v>171396078.4313726</v>
      </c>
      <c r="V412" t="n">
        <v>1</v>
      </c>
      <c r="W412" t="inlineStr">
        <is>
          <t>BALANCE TASAS</t>
        </is>
      </c>
      <c r="Y412" t="inlineStr">
        <is>
          <t>BALANCE TASAS</t>
        </is>
      </c>
      <c r="Z412" t="inlineStr">
        <is>
          <t>HTM</t>
        </is>
      </c>
      <c r="AA412" t="n">
        <v>1</v>
      </c>
    </row>
    <row r="413">
      <c r="A413" s="71" t="n">
        <v>45923</v>
      </c>
      <c r="B413" t="n">
        <v>1</v>
      </c>
      <c r="D413" t="inlineStr">
        <is>
          <t>PAS</t>
        </is>
      </c>
      <c r="E413" t="inlineStr">
        <is>
          <t>CLP</t>
        </is>
      </c>
      <c r="F413" t="inlineStr">
        <is>
          <t>CLP</t>
        </is>
      </c>
      <c r="H413" t="inlineStr">
        <is>
          <t>MT.CTA. VISTA</t>
        </is>
      </c>
      <c r="I413" t="inlineStr">
        <is>
          <t>CTA. VISTA_CORE_CORE</t>
        </is>
      </c>
      <c r="K413" t="n">
        <v>35</v>
      </c>
      <c r="M413" s="71" t="n">
        <v>46965</v>
      </c>
      <c r="N413" s="71" t="n">
        <v>46965</v>
      </c>
      <c r="O413" s="71" t="n">
        <v>46965</v>
      </c>
      <c r="P413" t="n">
        <v>171396078.4313726</v>
      </c>
      <c r="V413" t="n">
        <v>1</v>
      </c>
      <c r="W413" t="inlineStr">
        <is>
          <t>BALANCE TASAS</t>
        </is>
      </c>
      <c r="Y413" t="inlineStr">
        <is>
          <t>BALANCE TASAS</t>
        </is>
      </c>
      <c r="Z413" t="inlineStr">
        <is>
          <t>HTM</t>
        </is>
      </c>
      <c r="AA413" t="n">
        <v>1</v>
      </c>
    </row>
    <row r="414">
      <c r="A414" s="71" t="n">
        <v>45923</v>
      </c>
      <c r="B414" t="n">
        <v>1</v>
      </c>
      <c r="D414" t="inlineStr">
        <is>
          <t>PAS</t>
        </is>
      </c>
      <c r="E414" t="inlineStr">
        <is>
          <t>CLP</t>
        </is>
      </c>
      <c r="F414" t="inlineStr">
        <is>
          <t>CLP</t>
        </is>
      </c>
      <c r="H414" t="inlineStr">
        <is>
          <t>MT.CTA. VISTA</t>
        </is>
      </c>
      <c r="I414" t="inlineStr">
        <is>
          <t>CTA. VISTA_CORE_CORE</t>
        </is>
      </c>
      <c r="K414" t="n">
        <v>36</v>
      </c>
      <c r="M414" s="71" t="n">
        <v>46996</v>
      </c>
      <c r="N414" s="71" t="n">
        <v>46996</v>
      </c>
      <c r="O414" s="71" t="n">
        <v>46996</v>
      </c>
      <c r="P414" t="n">
        <v>171396078.4313726</v>
      </c>
      <c r="V414" t="n">
        <v>1</v>
      </c>
      <c r="W414" t="inlineStr">
        <is>
          <t>BALANCE TASAS</t>
        </is>
      </c>
      <c r="Y414" t="inlineStr">
        <is>
          <t>BALANCE TASAS</t>
        </is>
      </c>
      <c r="Z414" t="inlineStr">
        <is>
          <t>HTM</t>
        </is>
      </c>
      <c r="AA414" t="n">
        <v>1</v>
      </c>
    </row>
    <row r="415">
      <c r="A415" s="71" t="n">
        <v>45923</v>
      </c>
      <c r="B415" t="n">
        <v>1</v>
      </c>
      <c r="D415" t="inlineStr">
        <is>
          <t>PAS</t>
        </is>
      </c>
      <c r="E415" t="inlineStr">
        <is>
          <t>CLP</t>
        </is>
      </c>
      <c r="F415" t="inlineStr">
        <is>
          <t>CLP</t>
        </is>
      </c>
      <c r="H415" t="inlineStr">
        <is>
          <t>MT.CTA. VISTA</t>
        </is>
      </c>
      <c r="I415" t="inlineStr">
        <is>
          <t>CTA. VISTA_CORE_CORE</t>
        </is>
      </c>
      <c r="K415" t="n">
        <v>37</v>
      </c>
      <c r="M415" s="71" t="n">
        <v>47026</v>
      </c>
      <c r="N415" s="71" t="n">
        <v>47026</v>
      </c>
      <c r="O415" s="71" t="n">
        <v>47026</v>
      </c>
      <c r="P415" t="n">
        <v>171396078.4313726</v>
      </c>
      <c r="V415" t="n">
        <v>1</v>
      </c>
      <c r="W415" t="inlineStr">
        <is>
          <t>BALANCE TASAS</t>
        </is>
      </c>
      <c r="Y415" t="inlineStr">
        <is>
          <t>BALANCE TASAS</t>
        </is>
      </c>
      <c r="Z415" t="inlineStr">
        <is>
          <t>HTM</t>
        </is>
      </c>
      <c r="AA415" t="n">
        <v>1</v>
      </c>
    </row>
    <row r="416">
      <c r="A416" s="71" t="n">
        <v>45923</v>
      </c>
      <c r="B416" t="n">
        <v>1</v>
      </c>
      <c r="D416" t="inlineStr">
        <is>
          <t>PAS</t>
        </is>
      </c>
      <c r="E416" t="inlineStr">
        <is>
          <t>CLP</t>
        </is>
      </c>
      <c r="F416" t="inlineStr">
        <is>
          <t>CLP</t>
        </is>
      </c>
      <c r="H416" t="inlineStr">
        <is>
          <t>MT.CTA. VISTA</t>
        </is>
      </c>
      <c r="I416" t="inlineStr">
        <is>
          <t>CTA. VISTA_CORE_CORE</t>
        </is>
      </c>
      <c r="K416" t="n">
        <v>38</v>
      </c>
      <c r="M416" s="71" t="n">
        <v>47057</v>
      </c>
      <c r="N416" s="71" t="n">
        <v>47057</v>
      </c>
      <c r="O416" s="71" t="n">
        <v>47057</v>
      </c>
      <c r="P416" t="n">
        <v>171396078.4313726</v>
      </c>
      <c r="V416" t="n">
        <v>1</v>
      </c>
      <c r="W416" t="inlineStr">
        <is>
          <t>BALANCE TASAS</t>
        </is>
      </c>
      <c r="Y416" t="inlineStr">
        <is>
          <t>BALANCE TASAS</t>
        </is>
      </c>
      <c r="Z416" t="inlineStr">
        <is>
          <t>HTM</t>
        </is>
      </c>
      <c r="AA416" t="n">
        <v>1</v>
      </c>
    </row>
    <row r="417">
      <c r="A417" s="71" t="n">
        <v>45923</v>
      </c>
      <c r="B417" t="n">
        <v>1</v>
      </c>
      <c r="D417" t="inlineStr">
        <is>
          <t>PAS</t>
        </is>
      </c>
      <c r="E417" t="inlineStr">
        <is>
          <t>CLP</t>
        </is>
      </c>
      <c r="F417" t="inlineStr">
        <is>
          <t>CLP</t>
        </is>
      </c>
      <c r="H417" t="inlineStr">
        <is>
          <t>MT.CTA. VISTA</t>
        </is>
      </c>
      <c r="I417" t="inlineStr">
        <is>
          <t>CTA. VISTA_CORE_CORE</t>
        </is>
      </c>
      <c r="K417" t="n">
        <v>39</v>
      </c>
      <c r="M417" s="71" t="n">
        <v>47087</v>
      </c>
      <c r="N417" s="71" t="n">
        <v>47087</v>
      </c>
      <c r="O417" s="71" t="n">
        <v>47087</v>
      </c>
      <c r="P417" t="n">
        <v>171396078.4313726</v>
      </c>
      <c r="V417" t="n">
        <v>1</v>
      </c>
      <c r="W417" t="inlineStr">
        <is>
          <t>BALANCE TASAS</t>
        </is>
      </c>
      <c r="Y417" t="inlineStr">
        <is>
          <t>BALANCE TASAS</t>
        </is>
      </c>
      <c r="Z417" t="inlineStr">
        <is>
          <t>HTM</t>
        </is>
      </c>
      <c r="AA417" t="n">
        <v>1</v>
      </c>
    </row>
    <row r="418">
      <c r="A418" s="71" t="n">
        <v>45923</v>
      </c>
      <c r="B418" t="n">
        <v>1</v>
      </c>
      <c r="D418" t="inlineStr">
        <is>
          <t>PAS</t>
        </is>
      </c>
      <c r="E418" t="inlineStr">
        <is>
          <t>CLP</t>
        </is>
      </c>
      <c r="F418" t="inlineStr">
        <is>
          <t>CLP</t>
        </is>
      </c>
      <c r="H418" t="inlineStr">
        <is>
          <t>MT.CTA. VISTA</t>
        </is>
      </c>
      <c r="I418" t="inlineStr">
        <is>
          <t>CTA. VISTA_CORE_CORE</t>
        </is>
      </c>
      <c r="K418" t="n">
        <v>40</v>
      </c>
      <c r="M418" s="71" t="n">
        <v>47118</v>
      </c>
      <c r="N418" s="71" t="n">
        <v>47118</v>
      </c>
      <c r="O418" s="71" t="n">
        <v>47118</v>
      </c>
      <c r="P418" t="n">
        <v>171396078.4313726</v>
      </c>
      <c r="V418" t="n">
        <v>1</v>
      </c>
      <c r="W418" t="inlineStr">
        <is>
          <t>BALANCE TASAS</t>
        </is>
      </c>
      <c r="Y418" t="inlineStr">
        <is>
          <t>BALANCE TASAS</t>
        </is>
      </c>
      <c r="Z418" t="inlineStr">
        <is>
          <t>HTM</t>
        </is>
      </c>
      <c r="AA418" t="n">
        <v>1</v>
      </c>
    </row>
    <row r="419">
      <c r="A419" s="71" t="n">
        <v>45923</v>
      </c>
      <c r="B419" t="n">
        <v>1</v>
      </c>
      <c r="D419" t="inlineStr">
        <is>
          <t>PAS</t>
        </is>
      </c>
      <c r="E419" t="inlineStr">
        <is>
          <t>CLP</t>
        </is>
      </c>
      <c r="F419" t="inlineStr">
        <is>
          <t>CLP</t>
        </is>
      </c>
      <c r="H419" t="inlineStr">
        <is>
          <t>MT.CTA. VISTA</t>
        </is>
      </c>
      <c r="I419" t="inlineStr">
        <is>
          <t>CTA. VISTA_CORE_CORE</t>
        </is>
      </c>
      <c r="K419" t="n">
        <v>41</v>
      </c>
      <c r="M419" s="71" t="n">
        <v>47149</v>
      </c>
      <c r="N419" s="71" t="n">
        <v>47149</v>
      </c>
      <c r="O419" s="71" t="n">
        <v>47149</v>
      </c>
      <c r="P419" t="n">
        <v>171396078.4313726</v>
      </c>
      <c r="V419" t="n">
        <v>1</v>
      </c>
      <c r="W419" t="inlineStr">
        <is>
          <t>BALANCE TASAS</t>
        </is>
      </c>
      <c r="Y419" t="inlineStr">
        <is>
          <t>BALANCE TASAS</t>
        </is>
      </c>
      <c r="Z419" t="inlineStr">
        <is>
          <t>HTM</t>
        </is>
      </c>
      <c r="AA419" t="n">
        <v>1</v>
      </c>
    </row>
    <row r="420">
      <c r="A420" s="71" t="n">
        <v>45923</v>
      </c>
      <c r="B420" t="n">
        <v>1</v>
      </c>
      <c r="D420" t="inlineStr">
        <is>
          <t>PAS</t>
        </is>
      </c>
      <c r="E420" t="inlineStr">
        <is>
          <t>CLP</t>
        </is>
      </c>
      <c r="F420" t="inlineStr">
        <is>
          <t>CLP</t>
        </is>
      </c>
      <c r="H420" t="inlineStr">
        <is>
          <t>MT.CTA. VISTA</t>
        </is>
      </c>
      <c r="I420" t="inlineStr">
        <is>
          <t>CTA. VISTA_CORE_CORE</t>
        </is>
      </c>
      <c r="K420" t="n">
        <v>42</v>
      </c>
      <c r="M420" s="71" t="n">
        <v>47177</v>
      </c>
      <c r="N420" s="71" t="n">
        <v>47177</v>
      </c>
      <c r="O420" s="71" t="n">
        <v>47177</v>
      </c>
      <c r="P420" t="n">
        <v>171396078.4313726</v>
      </c>
      <c r="V420" t="n">
        <v>1</v>
      </c>
      <c r="W420" t="inlineStr">
        <is>
          <t>BALANCE TASAS</t>
        </is>
      </c>
      <c r="Y420" t="inlineStr">
        <is>
          <t>BALANCE TASAS</t>
        </is>
      </c>
      <c r="Z420" t="inlineStr">
        <is>
          <t>HTM</t>
        </is>
      </c>
      <c r="AA420" t="n">
        <v>1</v>
      </c>
    </row>
    <row r="421">
      <c r="A421" s="71" t="n">
        <v>45923</v>
      </c>
      <c r="B421" t="n">
        <v>1</v>
      </c>
      <c r="D421" t="inlineStr">
        <is>
          <t>PAS</t>
        </is>
      </c>
      <c r="E421" t="inlineStr">
        <is>
          <t>CLP</t>
        </is>
      </c>
      <c r="F421" t="inlineStr">
        <is>
          <t>CLP</t>
        </is>
      </c>
      <c r="H421" t="inlineStr">
        <is>
          <t>MT.CTA. VISTA</t>
        </is>
      </c>
      <c r="I421" t="inlineStr">
        <is>
          <t>CTA. VISTA</t>
        </is>
      </c>
      <c r="M421" s="71" t="n">
        <v>45924</v>
      </c>
      <c r="N421" s="71" t="n">
        <v>45924</v>
      </c>
      <c r="O421" s="71" t="n">
        <v>45924</v>
      </c>
      <c r="P421" t="n">
        <v>29702828042</v>
      </c>
      <c r="V421" t="n">
        <v>1</v>
      </c>
      <c r="W421" t="inlineStr">
        <is>
          <t>BALANCE TASAS</t>
        </is>
      </c>
      <c r="Y421" t="inlineStr">
        <is>
          <t>BALANCE TASAS</t>
        </is>
      </c>
      <c r="Z421" t="inlineStr">
        <is>
          <t>HTM</t>
        </is>
      </c>
      <c r="AA421" t="n">
        <v>1</v>
      </c>
    </row>
    <row r="422">
      <c r="A422" s="71" t="n">
        <v>45923</v>
      </c>
      <c r="B422" t="n">
        <v>1</v>
      </c>
      <c r="D422" t="inlineStr">
        <is>
          <t>PAS</t>
        </is>
      </c>
      <c r="E422" t="inlineStr">
        <is>
          <t>CLF</t>
        </is>
      </c>
      <c r="F422" t="inlineStr">
        <is>
          <t>CLF</t>
        </is>
      </c>
      <c r="H422" t="inlineStr">
        <is>
          <t>MT_CTA. AHORRO</t>
        </is>
      </c>
      <c r="I422" t="inlineStr">
        <is>
          <t>CTA. AHORRO G.DIF_CORE_CORE</t>
        </is>
      </c>
      <c r="K422" t="n">
        <v>1</v>
      </c>
      <c r="M422" s="71" t="n">
        <v>45930</v>
      </c>
      <c r="N422" s="71" t="n">
        <v>45930</v>
      </c>
      <c r="O422" s="71" t="n">
        <v>45930</v>
      </c>
      <c r="P422" t="n">
        <v>25679.99679878049</v>
      </c>
      <c r="V422" t="n">
        <v>1</v>
      </c>
      <c r="W422" t="inlineStr">
        <is>
          <t>BALANCE TASAS</t>
        </is>
      </c>
      <c r="Y422" t="inlineStr">
        <is>
          <t>BALANCE TASAS</t>
        </is>
      </c>
      <c r="Z422" t="inlineStr">
        <is>
          <t>HTM</t>
        </is>
      </c>
      <c r="AA422" t="n">
        <v>1</v>
      </c>
    </row>
    <row r="423">
      <c r="A423" s="71" t="n">
        <v>45923</v>
      </c>
      <c r="B423" t="n">
        <v>1</v>
      </c>
      <c r="D423" t="inlineStr">
        <is>
          <t>PAS</t>
        </is>
      </c>
      <c r="E423" t="inlineStr">
        <is>
          <t>CLF</t>
        </is>
      </c>
      <c r="F423" t="inlineStr">
        <is>
          <t>CLF</t>
        </is>
      </c>
      <c r="H423" t="inlineStr">
        <is>
          <t>MT_CTA. AHORRO</t>
        </is>
      </c>
      <c r="I423" t="inlineStr">
        <is>
          <t>CTA. AHORRO G.DIF_CORE_CORE</t>
        </is>
      </c>
      <c r="K423" t="n">
        <v>2</v>
      </c>
      <c r="M423" s="71" t="n">
        <v>45961</v>
      </c>
      <c r="N423" s="71" t="n">
        <v>45961</v>
      </c>
      <c r="O423" s="71" t="n">
        <v>45961</v>
      </c>
      <c r="P423" t="n">
        <v>25679.99679878049</v>
      </c>
      <c r="V423" t="n">
        <v>1</v>
      </c>
      <c r="W423" t="inlineStr">
        <is>
          <t>BALANCE TASAS</t>
        </is>
      </c>
      <c r="Y423" t="inlineStr">
        <is>
          <t>BALANCE TASAS</t>
        </is>
      </c>
      <c r="Z423" t="inlineStr">
        <is>
          <t>HTM</t>
        </is>
      </c>
      <c r="AA423" t="n">
        <v>1</v>
      </c>
    </row>
    <row r="424">
      <c r="A424" s="71" t="n">
        <v>45923</v>
      </c>
      <c r="B424" t="n">
        <v>1</v>
      </c>
      <c r="D424" t="inlineStr">
        <is>
          <t>PAS</t>
        </is>
      </c>
      <c r="E424" t="inlineStr">
        <is>
          <t>CLF</t>
        </is>
      </c>
      <c r="F424" t="inlineStr">
        <is>
          <t>CLF</t>
        </is>
      </c>
      <c r="H424" t="inlineStr">
        <is>
          <t>MT_CTA. AHORRO</t>
        </is>
      </c>
      <c r="I424" t="inlineStr">
        <is>
          <t>CTA. AHORRO G.DIF_CORE_CORE</t>
        </is>
      </c>
      <c r="K424" t="n">
        <v>3</v>
      </c>
      <c r="M424" s="71" t="n">
        <v>45991</v>
      </c>
      <c r="N424" s="71" t="n">
        <v>45991</v>
      </c>
      <c r="O424" s="71" t="n">
        <v>45991</v>
      </c>
      <c r="P424" t="n">
        <v>25679.99679878049</v>
      </c>
      <c r="V424" t="n">
        <v>1</v>
      </c>
      <c r="W424" t="inlineStr">
        <is>
          <t>BALANCE TASAS</t>
        </is>
      </c>
      <c r="Y424" t="inlineStr">
        <is>
          <t>BALANCE TASAS</t>
        </is>
      </c>
      <c r="Z424" t="inlineStr">
        <is>
          <t>HTM</t>
        </is>
      </c>
      <c r="AA424" t="n">
        <v>1</v>
      </c>
    </row>
    <row r="425">
      <c r="A425" s="71" t="n">
        <v>45923</v>
      </c>
      <c r="B425" t="n">
        <v>1</v>
      </c>
      <c r="D425" t="inlineStr">
        <is>
          <t>PAS</t>
        </is>
      </c>
      <c r="E425" t="inlineStr">
        <is>
          <t>CLF</t>
        </is>
      </c>
      <c r="F425" t="inlineStr">
        <is>
          <t>CLF</t>
        </is>
      </c>
      <c r="H425" t="inlineStr">
        <is>
          <t>MT_CTA. AHORRO</t>
        </is>
      </c>
      <c r="I425" t="inlineStr">
        <is>
          <t>CTA. AHORRO G.DIF_CORE_CORE</t>
        </is>
      </c>
      <c r="K425" t="n">
        <v>4</v>
      </c>
      <c r="M425" s="71" t="n">
        <v>46022</v>
      </c>
      <c r="N425" s="71" t="n">
        <v>46022</v>
      </c>
      <c r="O425" s="71" t="n">
        <v>46022</v>
      </c>
      <c r="P425" t="n">
        <v>25679.99679878049</v>
      </c>
      <c r="V425" t="n">
        <v>1</v>
      </c>
      <c r="W425" t="inlineStr">
        <is>
          <t>BALANCE TASAS</t>
        </is>
      </c>
      <c r="Y425" t="inlineStr">
        <is>
          <t>BALANCE TASAS</t>
        </is>
      </c>
      <c r="Z425" t="inlineStr">
        <is>
          <t>HTM</t>
        </is>
      </c>
      <c r="AA425" t="n">
        <v>1</v>
      </c>
    </row>
    <row r="426">
      <c r="A426" s="71" t="n">
        <v>45923</v>
      </c>
      <c r="B426" t="n">
        <v>1</v>
      </c>
      <c r="D426" t="inlineStr">
        <is>
          <t>PAS</t>
        </is>
      </c>
      <c r="E426" t="inlineStr">
        <is>
          <t>CLF</t>
        </is>
      </c>
      <c r="F426" t="inlineStr">
        <is>
          <t>CLF</t>
        </is>
      </c>
      <c r="H426" t="inlineStr">
        <is>
          <t>MT_CTA. AHORRO</t>
        </is>
      </c>
      <c r="I426" t="inlineStr">
        <is>
          <t>CTA. AHORRO G.DIF_CORE_CORE</t>
        </is>
      </c>
      <c r="K426" t="n">
        <v>5</v>
      </c>
      <c r="M426" s="71" t="n">
        <v>46053</v>
      </c>
      <c r="N426" s="71" t="n">
        <v>46053</v>
      </c>
      <c r="O426" s="71" t="n">
        <v>46053</v>
      </c>
      <c r="P426" t="n">
        <v>25679.99679878049</v>
      </c>
      <c r="V426" t="n">
        <v>1</v>
      </c>
      <c r="W426" t="inlineStr">
        <is>
          <t>BALANCE TASAS</t>
        </is>
      </c>
      <c r="Y426" t="inlineStr">
        <is>
          <t>BALANCE TASAS</t>
        </is>
      </c>
      <c r="Z426" t="inlineStr">
        <is>
          <t>HTM</t>
        </is>
      </c>
      <c r="AA426" t="n">
        <v>1</v>
      </c>
    </row>
    <row r="427">
      <c r="A427" s="71" t="n">
        <v>45923</v>
      </c>
      <c r="B427" t="n">
        <v>1</v>
      </c>
      <c r="D427" t="inlineStr">
        <is>
          <t>PAS</t>
        </is>
      </c>
      <c r="E427" t="inlineStr">
        <is>
          <t>CLF</t>
        </is>
      </c>
      <c r="F427" t="inlineStr">
        <is>
          <t>CLF</t>
        </is>
      </c>
      <c r="H427" t="inlineStr">
        <is>
          <t>MT_CTA. AHORRO</t>
        </is>
      </c>
      <c r="I427" t="inlineStr">
        <is>
          <t>CTA. AHORRO G.DIF_CORE_CORE</t>
        </is>
      </c>
      <c r="K427" t="n">
        <v>6</v>
      </c>
      <c r="M427" s="71" t="n">
        <v>46081</v>
      </c>
      <c r="N427" s="71" t="n">
        <v>46081</v>
      </c>
      <c r="O427" s="71" t="n">
        <v>46081</v>
      </c>
      <c r="P427" t="n">
        <v>25679.99679878049</v>
      </c>
      <c r="V427" t="n">
        <v>1</v>
      </c>
      <c r="W427" t="inlineStr">
        <is>
          <t>BALANCE TASAS</t>
        </is>
      </c>
      <c r="Y427" t="inlineStr">
        <is>
          <t>BALANCE TASAS</t>
        </is>
      </c>
      <c r="Z427" t="inlineStr">
        <is>
          <t>HTM</t>
        </is>
      </c>
      <c r="AA427" t="n">
        <v>1</v>
      </c>
    </row>
    <row r="428">
      <c r="A428" s="71" t="n">
        <v>45923</v>
      </c>
      <c r="B428" t="n">
        <v>1</v>
      </c>
      <c r="D428" t="inlineStr">
        <is>
          <t>PAS</t>
        </is>
      </c>
      <c r="E428" t="inlineStr">
        <is>
          <t>CLF</t>
        </is>
      </c>
      <c r="F428" t="inlineStr">
        <is>
          <t>CLF</t>
        </is>
      </c>
      <c r="H428" t="inlineStr">
        <is>
          <t>MT_CTA. AHORRO</t>
        </is>
      </c>
      <c r="I428" t="inlineStr">
        <is>
          <t>CTA. AHORRO G.DIF_CORE_CORE</t>
        </is>
      </c>
      <c r="K428" t="n">
        <v>7</v>
      </c>
      <c r="M428" s="71" t="n">
        <v>46112</v>
      </c>
      <c r="N428" s="71" t="n">
        <v>46112</v>
      </c>
      <c r="O428" s="71" t="n">
        <v>46112</v>
      </c>
      <c r="P428" t="n">
        <v>25679.99679878049</v>
      </c>
      <c r="V428" t="n">
        <v>1</v>
      </c>
      <c r="W428" t="inlineStr">
        <is>
          <t>BALANCE TASAS</t>
        </is>
      </c>
      <c r="Y428" t="inlineStr">
        <is>
          <t>BALANCE TASAS</t>
        </is>
      </c>
      <c r="Z428" t="inlineStr">
        <is>
          <t>HTM</t>
        </is>
      </c>
      <c r="AA428" t="n">
        <v>1</v>
      </c>
    </row>
    <row r="429">
      <c r="A429" s="71" t="n">
        <v>45923</v>
      </c>
      <c r="B429" t="n">
        <v>1</v>
      </c>
      <c r="D429" t="inlineStr">
        <is>
          <t>PAS</t>
        </is>
      </c>
      <c r="E429" t="inlineStr">
        <is>
          <t>CLF</t>
        </is>
      </c>
      <c r="F429" t="inlineStr">
        <is>
          <t>CLF</t>
        </is>
      </c>
      <c r="H429" t="inlineStr">
        <is>
          <t>MT_CTA. AHORRO</t>
        </is>
      </c>
      <c r="I429" t="inlineStr">
        <is>
          <t>CTA. AHORRO G.DIF_CORE_CORE</t>
        </is>
      </c>
      <c r="K429" t="n">
        <v>8</v>
      </c>
      <c r="M429" s="71" t="n">
        <v>46142</v>
      </c>
      <c r="N429" s="71" t="n">
        <v>46142</v>
      </c>
      <c r="O429" s="71" t="n">
        <v>46142</v>
      </c>
      <c r="P429" t="n">
        <v>25679.99679878049</v>
      </c>
      <c r="V429" t="n">
        <v>1</v>
      </c>
      <c r="W429" t="inlineStr">
        <is>
          <t>BALANCE TASAS</t>
        </is>
      </c>
      <c r="Y429" t="inlineStr">
        <is>
          <t>BALANCE TASAS</t>
        </is>
      </c>
      <c r="Z429" t="inlineStr">
        <is>
          <t>HTM</t>
        </is>
      </c>
      <c r="AA429" t="n">
        <v>1</v>
      </c>
    </row>
    <row r="430">
      <c r="A430" s="71" t="n">
        <v>45923</v>
      </c>
      <c r="B430" t="n">
        <v>1</v>
      </c>
      <c r="D430" t="inlineStr">
        <is>
          <t>PAS</t>
        </is>
      </c>
      <c r="E430" t="inlineStr">
        <is>
          <t>CLF</t>
        </is>
      </c>
      <c r="F430" t="inlineStr">
        <is>
          <t>CLF</t>
        </is>
      </c>
      <c r="H430" t="inlineStr">
        <is>
          <t>MT_CTA. AHORRO</t>
        </is>
      </c>
      <c r="I430" t="inlineStr">
        <is>
          <t>CTA. AHORRO G.DIF_CORE_CORE</t>
        </is>
      </c>
      <c r="K430" t="n">
        <v>9</v>
      </c>
      <c r="M430" s="71" t="n">
        <v>46173</v>
      </c>
      <c r="N430" s="71" t="n">
        <v>46173</v>
      </c>
      <c r="O430" s="71" t="n">
        <v>46173</v>
      </c>
      <c r="P430" t="n">
        <v>25679.99679878049</v>
      </c>
      <c r="V430" t="n">
        <v>1</v>
      </c>
      <c r="W430" t="inlineStr">
        <is>
          <t>BALANCE TASAS</t>
        </is>
      </c>
      <c r="Y430" t="inlineStr">
        <is>
          <t>BALANCE TASAS</t>
        </is>
      </c>
      <c r="Z430" t="inlineStr">
        <is>
          <t>HTM</t>
        </is>
      </c>
      <c r="AA430" t="n">
        <v>1</v>
      </c>
    </row>
    <row r="431">
      <c r="A431" s="71" t="n">
        <v>45923</v>
      </c>
      <c r="B431" t="n">
        <v>1</v>
      </c>
      <c r="D431" t="inlineStr">
        <is>
          <t>PAS</t>
        </is>
      </c>
      <c r="E431" t="inlineStr">
        <is>
          <t>CLF</t>
        </is>
      </c>
      <c r="F431" t="inlineStr">
        <is>
          <t>CLF</t>
        </is>
      </c>
      <c r="H431" t="inlineStr">
        <is>
          <t>MT_CTA. AHORRO</t>
        </is>
      </c>
      <c r="I431" t="inlineStr">
        <is>
          <t>CTA. AHORRO G.DIF_CORE_CORE</t>
        </is>
      </c>
      <c r="K431" t="n">
        <v>10</v>
      </c>
      <c r="M431" s="71" t="n">
        <v>46203</v>
      </c>
      <c r="N431" s="71" t="n">
        <v>46203</v>
      </c>
      <c r="O431" s="71" t="n">
        <v>46203</v>
      </c>
      <c r="P431" t="n">
        <v>25679.99679878049</v>
      </c>
      <c r="V431" t="n">
        <v>1</v>
      </c>
      <c r="W431" t="inlineStr">
        <is>
          <t>BALANCE TASAS</t>
        </is>
      </c>
      <c r="Y431" t="inlineStr">
        <is>
          <t>BALANCE TASAS</t>
        </is>
      </c>
      <c r="Z431" t="inlineStr">
        <is>
          <t>HTM</t>
        </is>
      </c>
      <c r="AA431" t="n">
        <v>1</v>
      </c>
    </row>
    <row r="432">
      <c r="A432" s="71" t="n">
        <v>45923</v>
      </c>
      <c r="B432" t="n">
        <v>1</v>
      </c>
      <c r="D432" t="inlineStr">
        <is>
          <t>PAS</t>
        </is>
      </c>
      <c r="E432" t="inlineStr">
        <is>
          <t>CLF</t>
        </is>
      </c>
      <c r="F432" t="inlineStr">
        <is>
          <t>CLF</t>
        </is>
      </c>
      <c r="H432" t="inlineStr">
        <is>
          <t>MT_CTA. AHORRO</t>
        </is>
      </c>
      <c r="I432" t="inlineStr">
        <is>
          <t>CTA. AHORRO G.DIF_CORE_CORE</t>
        </is>
      </c>
      <c r="K432" t="n">
        <v>11</v>
      </c>
      <c r="M432" s="71" t="n">
        <v>46234</v>
      </c>
      <c r="N432" s="71" t="n">
        <v>46234</v>
      </c>
      <c r="O432" s="71" t="n">
        <v>46234</v>
      </c>
      <c r="P432" t="n">
        <v>25679.99679878049</v>
      </c>
      <c r="V432" t="n">
        <v>1</v>
      </c>
      <c r="W432" t="inlineStr">
        <is>
          <t>BALANCE TASAS</t>
        </is>
      </c>
      <c r="Y432" t="inlineStr">
        <is>
          <t>BALANCE TASAS</t>
        </is>
      </c>
      <c r="Z432" t="inlineStr">
        <is>
          <t>HTM</t>
        </is>
      </c>
      <c r="AA432" t="n">
        <v>1</v>
      </c>
    </row>
    <row r="433">
      <c r="A433" s="71" t="n">
        <v>45923</v>
      </c>
      <c r="B433" t="n">
        <v>1</v>
      </c>
      <c r="D433" t="inlineStr">
        <is>
          <t>PAS</t>
        </is>
      </c>
      <c r="E433" t="inlineStr">
        <is>
          <t>CLF</t>
        </is>
      </c>
      <c r="F433" t="inlineStr">
        <is>
          <t>CLF</t>
        </is>
      </c>
      <c r="H433" t="inlineStr">
        <is>
          <t>MT_CTA. AHORRO</t>
        </is>
      </c>
      <c r="I433" t="inlineStr">
        <is>
          <t>CTA. AHORRO G.DIF_CORE_CORE</t>
        </is>
      </c>
      <c r="K433" t="n">
        <v>12</v>
      </c>
      <c r="M433" s="71" t="n">
        <v>46265</v>
      </c>
      <c r="N433" s="71" t="n">
        <v>46265</v>
      </c>
      <c r="O433" s="71" t="n">
        <v>46265</v>
      </c>
      <c r="P433" t="n">
        <v>25679.99679878049</v>
      </c>
      <c r="V433" t="n">
        <v>1</v>
      </c>
      <c r="W433" t="inlineStr">
        <is>
          <t>BALANCE TASAS</t>
        </is>
      </c>
      <c r="Y433" t="inlineStr">
        <is>
          <t>BALANCE TASAS</t>
        </is>
      </c>
      <c r="Z433" t="inlineStr">
        <is>
          <t>HTM</t>
        </is>
      </c>
      <c r="AA433" t="n">
        <v>1</v>
      </c>
    </row>
    <row r="434">
      <c r="A434" s="71" t="n">
        <v>45923</v>
      </c>
      <c r="B434" t="n">
        <v>1</v>
      </c>
      <c r="D434" t="inlineStr">
        <is>
          <t>PAS</t>
        </is>
      </c>
      <c r="E434" t="inlineStr">
        <is>
          <t>CLF</t>
        </is>
      </c>
      <c r="F434" t="inlineStr">
        <is>
          <t>CLF</t>
        </is>
      </c>
      <c r="H434" t="inlineStr">
        <is>
          <t>MT_CTA. AHORRO</t>
        </is>
      </c>
      <c r="I434" t="inlineStr">
        <is>
          <t>CTA. AHORRO G.DIF_CORE_CORE</t>
        </is>
      </c>
      <c r="K434" t="n">
        <v>13</v>
      </c>
      <c r="M434" s="71" t="n">
        <v>46295</v>
      </c>
      <c r="N434" s="71" t="n">
        <v>46295</v>
      </c>
      <c r="O434" s="71" t="n">
        <v>46295</v>
      </c>
      <c r="P434" t="n">
        <v>25679.99679878049</v>
      </c>
      <c r="V434" t="n">
        <v>1</v>
      </c>
      <c r="W434" t="inlineStr">
        <is>
          <t>BALANCE TASAS</t>
        </is>
      </c>
      <c r="Y434" t="inlineStr">
        <is>
          <t>BALANCE TASAS</t>
        </is>
      </c>
      <c r="Z434" t="inlineStr">
        <is>
          <t>HTM</t>
        </is>
      </c>
      <c r="AA434" t="n">
        <v>1</v>
      </c>
    </row>
    <row r="435">
      <c r="A435" s="71" t="n">
        <v>45923</v>
      </c>
      <c r="B435" t="n">
        <v>1</v>
      </c>
      <c r="D435" t="inlineStr">
        <is>
          <t>PAS</t>
        </is>
      </c>
      <c r="E435" t="inlineStr">
        <is>
          <t>CLF</t>
        </is>
      </c>
      <c r="F435" t="inlineStr">
        <is>
          <t>CLF</t>
        </is>
      </c>
      <c r="H435" t="inlineStr">
        <is>
          <t>MT_CTA. AHORRO</t>
        </is>
      </c>
      <c r="I435" t="inlineStr">
        <is>
          <t>CTA. AHORRO G.DIF_CORE_CORE</t>
        </is>
      </c>
      <c r="K435" t="n">
        <v>14</v>
      </c>
      <c r="M435" s="71" t="n">
        <v>46326</v>
      </c>
      <c r="N435" s="71" t="n">
        <v>46326</v>
      </c>
      <c r="O435" s="71" t="n">
        <v>46326</v>
      </c>
      <c r="P435" t="n">
        <v>25679.99679878049</v>
      </c>
      <c r="V435" t="n">
        <v>1</v>
      </c>
      <c r="W435" t="inlineStr">
        <is>
          <t>BALANCE TASAS</t>
        </is>
      </c>
      <c r="Y435" t="inlineStr">
        <is>
          <t>BALANCE TASAS</t>
        </is>
      </c>
      <c r="Z435" t="inlineStr">
        <is>
          <t>HTM</t>
        </is>
      </c>
      <c r="AA435" t="n">
        <v>1</v>
      </c>
    </row>
    <row r="436">
      <c r="A436" s="71" t="n">
        <v>45923</v>
      </c>
      <c r="B436" t="n">
        <v>1</v>
      </c>
      <c r="D436" t="inlineStr">
        <is>
          <t>PAS</t>
        </is>
      </c>
      <c r="E436" t="inlineStr">
        <is>
          <t>CLF</t>
        </is>
      </c>
      <c r="F436" t="inlineStr">
        <is>
          <t>CLF</t>
        </is>
      </c>
      <c r="H436" t="inlineStr">
        <is>
          <t>MT_CTA. AHORRO</t>
        </is>
      </c>
      <c r="I436" t="inlineStr">
        <is>
          <t>CTA. AHORRO G.DIF_CORE_CORE</t>
        </is>
      </c>
      <c r="K436" t="n">
        <v>15</v>
      </c>
      <c r="M436" s="71" t="n">
        <v>46356</v>
      </c>
      <c r="N436" s="71" t="n">
        <v>46356</v>
      </c>
      <c r="O436" s="71" t="n">
        <v>46356</v>
      </c>
      <c r="P436" t="n">
        <v>25679.99679878049</v>
      </c>
      <c r="V436" t="n">
        <v>1</v>
      </c>
      <c r="W436" t="inlineStr">
        <is>
          <t>BALANCE TASAS</t>
        </is>
      </c>
      <c r="Y436" t="inlineStr">
        <is>
          <t>BALANCE TASAS</t>
        </is>
      </c>
      <c r="Z436" t="inlineStr">
        <is>
          <t>HTM</t>
        </is>
      </c>
      <c r="AA436" t="n">
        <v>1</v>
      </c>
    </row>
    <row r="437">
      <c r="A437" s="71" t="n">
        <v>45923</v>
      </c>
      <c r="B437" t="n">
        <v>1</v>
      </c>
      <c r="D437" t="inlineStr">
        <is>
          <t>PAS</t>
        </is>
      </c>
      <c r="E437" t="inlineStr">
        <is>
          <t>CLF</t>
        </is>
      </c>
      <c r="F437" t="inlineStr">
        <is>
          <t>CLF</t>
        </is>
      </c>
      <c r="H437" t="inlineStr">
        <is>
          <t>MT_CTA. AHORRO</t>
        </is>
      </c>
      <c r="I437" t="inlineStr">
        <is>
          <t>CTA. AHORRO G.DIF_CORE_CORE</t>
        </is>
      </c>
      <c r="K437" t="n">
        <v>16</v>
      </c>
      <c r="M437" s="71" t="n">
        <v>46387</v>
      </c>
      <c r="N437" s="71" t="n">
        <v>46387</v>
      </c>
      <c r="O437" s="71" t="n">
        <v>46387</v>
      </c>
      <c r="P437" t="n">
        <v>25679.99679878049</v>
      </c>
      <c r="V437" t="n">
        <v>1</v>
      </c>
      <c r="W437" t="inlineStr">
        <is>
          <t>BALANCE TASAS</t>
        </is>
      </c>
      <c r="Y437" t="inlineStr">
        <is>
          <t>BALANCE TASAS</t>
        </is>
      </c>
      <c r="Z437" t="inlineStr">
        <is>
          <t>HTM</t>
        </is>
      </c>
      <c r="AA437" t="n">
        <v>1</v>
      </c>
    </row>
    <row r="438">
      <c r="A438" s="71" t="n">
        <v>45923</v>
      </c>
      <c r="B438" t="n">
        <v>1</v>
      </c>
      <c r="D438" t="inlineStr">
        <is>
          <t>PAS</t>
        </is>
      </c>
      <c r="E438" t="inlineStr">
        <is>
          <t>CLF</t>
        </is>
      </c>
      <c r="F438" t="inlineStr">
        <is>
          <t>CLF</t>
        </is>
      </c>
      <c r="H438" t="inlineStr">
        <is>
          <t>MT_CTA. AHORRO</t>
        </is>
      </c>
      <c r="I438" t="inlineStr">
        <is>
          <t>CTA. AHORRO G.DIF_CORE_CORE</t>
        </is>
      </c>
      <c r="K438" t="n">
        <v>17</v>
      </c>
      <c r="M438" s="71" t="n">
        <v>46418</v>
      </c>
      <c r="N438" s="71" t="n">
        <v>46418</v>
      </c>
      <c r="O438" s="71" t="n">
        <v>46418</v>
      </c>
      <c r="P438" t="n">
        <v>25679.99679878049</v>
      </c>
      <c r="V438" t="n">
        <v>1</v>
      </c>
      <c r="W438" t="inlineStr">
        <is>
          <t>BALANCE TASAS</t>
        </is>
      </c>
      <c r="Y438" t="inlineStr">
        <is>
          <t>BALANCE TASAS</t>
        </is>
      </c>
      <c r="Z438" t="inlineStr">
        <is>
          <t>HTM</t>
        </is>
      </c>
      <c r="AA438" t="n">
        <v>1</v>
      </c>
    </row>
    <row r="439">
      <c r="A439" s="71" t="n">
        <v>45923</v>
      </c>
      <c r="B439" t="n">
        <v>1</v>
      </c>
      <c r="D439" t="inlineStr">
        <is>
          <t>PAS</t>
        </is>
      </c>
      <c r="E439" t="inlineStr">
        <is>
          <t>CLF</t>
        </is>
      </c>
      <c r="F439" t="inlineStr">
        <is>
          <t>CLF</t>
        </is>
      </c>
      <c r="H439" t="inlineStr">
        <is>
          <t>MT_CTA. AHORRO</t>
        </is>
      </c>
      <c r="I439" t="inlineStr">
        <is>
          <t>CTA. AHORRO G.DIF_CORE_CORE</t>
        </is>
      </c>
      <c r="K439" t="n">
        <v>18</v>
      </c>
      <c r="M439" s="71" t="n">
        <v>46446</v>
      </c>
      <c r="N439" s="71" t="n">
        <v>46446</v>
      </c>
      <c r="O439" s="71" t="n">
        <v>46446</v>
      </c>
      <c r="P439" t="n">
        <v>25679.99679878049</v>
      </c>
      <c r="V439" t="n">
        <v>1</v>
      </c>
      <c r="W439" t="inlineStr">
        <is>
          <t>BALANCE TASAS</t>
        </is>
      </c>
      <c r="Y439" t="inlineStr">
        <is>
          <t>BALANCE TASAS</t>
        </is>
      </c>
      <c r="Z439" t="inlineStr">
        <is>
          <t>HTM</t>
        </is>
      </c>
      <c r="AA439" t="n">
        <v>1</v>
      </c>
    </row>
    <row r="440">
      <c r="A440" s="71" t="n">
        <v>45923</v>
      </c>
      <c r="B440" t="n">
        <v>1</v>
      </c>
      <c r="D440" t="inlineStr">
        <is>
          <t>PAS</t>
        </is>
      </c>
      <c r="E440" t="inlineStr">
        <is>
          <t>CLF</t>
        </is>
      </c>
      <c r="F440" t="inlineStr">
        <is>
          <t>CLF</t>
        </is>
      </c>
      <c r="H440" t="inlineStr">
        <is>
          <t>MT_CTA. AHORRO</t>
        </is>
      </c>
      <c r="I440" t="inlineStr">
        <is>
          <t>CTA. AHORRO G.DIF_CORE_CORE</t>
        </is>
      </c>
      <c r="K440" t="n">
        <v>19</v>
      </c>
      <c r="M440" s="71" t="n">
        <v>46477</v>
      </c>
      <c r="N440" s="71" t="n">
        <v>46477</v>
      </c>
      <c r="O440" s="71" t="n">
        <v>46477</v>
      </c>
      <c r="P440" t="n">
        <v>25679.99679878049</v>
      </c>
      <c r="V440" t="n">
        <v>1</v>
      </c>
      <c r="W440" t="inlineStr">
        <is>
          <t>BALANCE TASAS</t>
        </is>
      </c>
      <c r="Y440" t="inlineStr">
        <is>
          <t>BALANCE TASAS</t>
        </is>
      </c>
      <c r="Z440" t="inlineStr">
        <is>
          <t>HTM</t>
        </is>
      </c>
      <c r="AA440" t="n">
        <v>1</v>
      </c>
    </row>
    <row r="441">
      <c r="A441" s="71" t="n">
        <v>45923</v>
      </c>
      <c r="B441" t="n">
        <v>1</v>
      </c>
      <c r="D441" t="inlineStr">
        <is>
          <t>PAS</t>
        </is>
      </c>
      <c r="E441" t="inlineStr">
        <is>
          <t>CLF</t>
        </is>
      </c>
      <c r="F441" t="inlineStr">
        <is>
          <t>CLF</t>
        </is>
      </c>
      <c r="H441" t="inlineStr">
        <is>
          <t>MT_CTA. AHORRO</t>
        </is>
      </c>
      <c r="I441" t="inlineStr">
        <is>
          <t>CTA. AHORRO G.DIF_CORE_CORE</t>
        </is>
      </c>
      <c r="K441" t="n">
        <v>20</v>
      </c>
      <c r="M441" s="71" t="n">
        <v>46507</v>
      </c>
      <c r="N441" s="71" t="n">
        <v>46507</v>
      </c>
      <c r="O441" s="71" t="n">
        <v>46507</v>
      </c>
      <c r="P441" t="n">
        <v>25679.99679878049</v>
      </c>
      <c r="V441" t="n">
        <v>1</v>
      </c>
      <c r="W441" t="inlineStr">
        <is>
          <t>BALANCE TASAS</t>
        </is>
      </c>
      <c r="Y441" t="inlineStr">
        <is>
          <t>BALANCE TASAS</t>
        </is>
      </c>
      <c r="Z441" t="inlineStr">
        <is>
          <t>HTM</t>
        </is>
      </c>
      <c r="AA441" t="n">
        <v>1</v>
      </c>
    </row>
    <row r="442">
      <c r="A442" s="71" t="n">
        <v>45923</v>
      </c>
      <c r="B442" t="n">
        <v>1</v>
      </c>
      <c r="D442" t="inlineStr">
        <is>
          <t>PAS</t>
        </is>
      </c>
      <c r="E442" t="inlineStr">
        <is>
          <t>CLF</t>
        </is>
      </c>
      <c r="F442" t="inlineStr">
        <is>
          <t>CLF</t>
        </is>
      </c>
      <c r="H442" t="inlineStr">
        <is>
          <t>MT_CTA. AHORRO</t>
        </is>
      </c>
      <c r="I442" t="inlineStr">
        <is>
          <t>CTA. AHORRO G.DIF_CORE_CORE</t>
        </is>
      </c>
      <c r="K442" t="n">
        <v>21</v>
      </c>
      <c r="M442" s="71" t="n">
        <v>46538</v>
      </c>
      <c r="N442" s="71" t="n">
        <v>46538</v>
      </c>
      <c r="O442" s="71" t="n">
        <v>46538</v>
      </c>
      <c r="P442" t="n">
        <v>25679.99679878049</v>
      </c>
      <c r="V442" t="n">
        <v>1</v>
      </c>
      <c r="W442" t="inlineStr">
        <is>
          <t>BALANCE TASAS</t>
        </is>
      </c>
      <c r="Y442" t="inlineStr">
        <is>
          <t>BALANCE TASAS</t>
        </is>
      </c>
      <c r="Z442" t="inlineStr">
        <is>
          <t>HTM</t>
        </is>
      </c>
      <c r="AA442" t="n">
        <v>1</v>
      </c>
    </row>
    <row r="443">
      <c r="A443" s="71" t="n">
        <v>45923</v>
      </c>
      <c r="B443" t="n">
        <v>1</v>
      </c>
      <c r="D443" t="inlineStr">
        <is>
          <t>PAS</t>
        </is>
      </c>
      <c r="E443" t="inlineStr">
        <is>
          <t>CLF</t>
        </is>
      </c>
      <c r="F443" t="inlineStr">
        <is>
          <t>CLF</t>
        </is>
      </c>
      <c r="H443" t="inlineStr">
        <is>
          <t>MT_CTA. AHORRO</t>
        </is>
      </c>
      <c r="I443" t="inlineStr">
        <is>
          <t>CTA. AHORRO G.DIF_CORE_CORE</t>
        </is>
      </c>
      <c r="K443" t="n">
        <v>22</v>
      </c>
      <c r="M443" s="71" t="n">
        <v>46568</v>
      </c>
      <c r="N443" s="71" t="n">
        <v>46568</v>
      </c>
      <c r="O443" s="71" t="n">
        <v>46568</v>
      </c>
      <c r="P443" t="n">
        <v>25679.99679878049</v>
      </c>
      <c r="V443" t="n">
        <v>1</v>
      </c>
      <c r="W443" t="inlineStr">
        <is>
          <t>BALANCE TASAS</t>
        </is>
      </c>
      <c r="Y443" t="inlineStr">
        <is>
          <t>BALANCE TASAS</t>
        </is>
      </c>
      <c r="Z443" t="inlineStr">
        <is>
          <t>HTM</t>
        </is>
      </c>
      <c r="AA443" t="n">
        <v>1</v>
      </c>
    </row>
    <row r="444">
      <c r="A444" s="71" t="n">
        <v>45923</v>
      </c>
      <c r="B444" t="n">
        <v>1</v>
      </c>
      <c r="D444" t="inlineStr">
        <is>
          <t>PAS</t>
        </is>
      </c>
      <c r="E444" t="inlineStr">
        <is>
          <t>CLF</t>
        </is>
      </c>
      <c r="F444" t="inlineStr">
        <is>
          <t>CLF</t>
        </is>
      </c>
      <c r="H444" t="inlineStr">
        <is>
          <t>MT_CTA. AHORRO</t>
        </is>
      </c>
      <c r="I444" t="inlineStr">
        <is>
          <t>CTA. AHORRO G.DIF_CORE_CORE</t>
        </is>
      </c>
      <c r="K444" t="n">
        <v>23</v>
      </c>
      <c r="M444" s="71" t="n">
        <v>46599</v>
      </c>
      <c r="N444" s="71" t="n">
        <v>46599</v>
      </c>
      <c r="O444" s="71" t="n">
        <v>46599</v>
      </c>
      <c r="P444" t="n">
        <v>25679.99679878049</v>
      </c>
      <c r="V444" t="n">
        <v>1</v>
      </c>
      <c r="W444" t="inlineStr">
        <is>
          <t>BALANCE TASAS</t>
        </is>
      </c>
      <c r="Y444" t="inlineStr">
        <is>
          <t>BALANCE TASAS</t>
        </is>
      </c>
      <c r="Z444" t="inlineStr">
        <is>
          <t>HTM</t>
        </is>
      </c>
      <c r="AA444" t="n">
        <v>1</v>
      </c>
    </row>
    <row r="445">
      <c r="A445" s="71" t="n">
        <v>45923</v>
      </c>
      <c r="B445" t="n">
        <v>1</v>
      </c>
      <c r="D445" t="inlineStr">
        <is>
          <t>PAS</t>
        </is>
      </c>
      <c r="E445" t="inlineStr">
        <is>
          <t>CLF</t>
        </is>
      </c>
      <c r="F445" t="inlineStr">
        <is>
          <t>CLF</t>
        </is>
      </c>
      <c r="H445" t="inlineStr">
        <is>
          <t>MT_CTA. AHORRO</t>
        </is>
      </c>
      <c r="I445" t="inlineStr">
        <is>
          <t>CTA. AHORRO G.DIF_CORE_CORE</t>
        </is>
      </c>
      <c r="K445" t="n">
        <v>24</v>
      </c>
      <c r="M445" s="71" t="n">
        <v>46630</v>
      </c>
      <c r="N445" s="71" t="n">
        <v>46630</v>
      </c>
      <c r="O445" s="71" t="n">
        <v>46630</v>
      </c>
      <c r="P445" t="n">
        <v>25679.99679878049</v>
      </c>
      <c r="V445" t="n">
        <v>1</v>
      </c>
      <c r="W445" t="inlineStr">
        <is>
          <t>BALANCE TASAS</t>
        </is>
      </c>
      <c r="Y445" t="inlineStr">
        <is>
          <t>BALANCE TASAS</t>
        </is>
      </c>
      <c r="Z445" t="inlineStr">
        <is>
          <t>HTM</t>
        </is>
      </c>
      <c r="AA445" t="n">
        <v>1</v>
      </c>
    </row>
    <row r="446">
      <c r="A446" s="71" t="n">
        <v>45923</v>
      </c>
      <c r="B446" t="n">
        <v>1</v>
      </c>
      <c r="D446" t="inlineStr">
        <is>
          <t>PAS</t>
        </is>
      </c>
      <c r="E446" t="inlineStr">
        <is>
          <t>CLF</t>
        </is>
      </c>
      <c r="F446" t="inlineStr">
        <is>
          <t>CLF</t>
        </is>
      </c>
      <c r="H446" t="inlineStr">
        <is>
          <t>MT_CTA. AHORRO</t>
        </is>
      </c>
      <c r="I446" t="inlineStr">
        <is>
          <t>CTA. AHORRO G.DIF_CORE_CORE</t>
        </is>
      </c>
      <c r="K446" t="n">
        <v>25</v>
      </c>
      <c r="M446" s="71" t="n">
        <v>46660</v>
      </c>
      <c r="N446" s="71" t="n">
        <v>46660</v>
      </c>
      <c r="O446" s="71" t="n">
        <v>46660</v>
      </c>
      <c r="P446" t="n">
        <v>25679.99679878049</v>
      </c>
      <c r="V446" t="n">
        <v>1</v>
      </c>
      <c r="W446" t="inlineStr">
        <is>
          <t>BALANCE TASAS</t>
        </is>
      </c>
      <c r="Y446" t="inlineStr">
        <is>
          <t>BALANCE TASAS</t>
        </is>
      </c>
      <c r="Z446" t="inlineStr">
        <is>
          <t>HTM</t>
        </is>
      </c>
      <c r="AA446" t="n">
        <v>1</v>
      </c>
    </row>
    <row r="447">
      <c r="A447" s="71" t="n">
        <v>45923</v>
      </c>
      <c r="B447" t="n">
        <v>1</v>
      </c>
      <c r="D447" t="inlineStr">
        <is>
          <t>PAS</t>
        </is>
      </c>
      <c r="E447" t="inlineStr">
        <is>
          <t>CLF</t>
        </is>
      </c>
      <c r="F447" t="inlineStr">
        <is>
          <t>CLF</t>
        </is>
      </c>
      <c r="H447" t="inlineStr">
        <is>
          <t>MT_CTA. AHORRO</t>
        </is>
      </c>
      <c r="I447" t="inlineStr">
        <is>
          <t>CTA. AHORRO G.DIF_CORE_CORE</t>
        </is>
      </c>
      <c r="K447" t="n">
        <v>26</v>
      </c>
      <c r="M447" s="71" t="n">
        <v>46691</v>
      </c>
      <c r="N447" s="71" t="n">
        <v>46691</v>
      </c>
      <c r="O447" s="71" t="n">
        <v>46691</v>
      </c>
      <c r="P447" t="n">
        <v>25679.99679878049</v>
      </c>
      <c r="V447" t="n">
        <v>1</v>
      </c>
      <c r="W447" t="inlineStr">
        <is>
          <t>BALANCE TASAS</t>
        </is>
      </c>
      <c r="Y447" t="inlineStr">
        <is>
          <t>BALANCE TASAS</t>
        </is>
      </c>
      <c r="Z447" t="inlineStr">
        <is>
          <t>HTM</t>
        </is>
      </c>
      <c r="AA447" t="n">
        <v>1</v>
      </c>
    </row>
    <row r="448">
      <c r="A448" s="71" t="n">
        <v>45923</v>
      </c>
      <c r="B448" t="n">
        <v>1</v>
      </c>
      <c r="D448" t="inlineStr">
        <is>
          <t>PAS</t>
        </is>
      </c>
      <c r="E448" t="inlineStr">
        <is>
          <t>CLF</t>
        </is>
      </c>
      <c r="F448" t="inlineStr">
        <is>
          <t>CLF</t>
        </is>
      </c>
      <c r="H448" t="inlineStr">
        <is>
          <t>MT_CTA. AHORRO</t>
        </is>
      </c>
      <c r="I448" t="inlineStr">
        <is>
          <t>CTA. AHORRO G.DIF_CORE_CORE</t>
        </is>
      </c>
      <c r="K448" t="n">
        <v>27</v>
      </c>
      <c r="M448" s="71" t="n">
        <v>46721</v>
      </c>
      <c r="N448" s="71" t="n">
        <v>46721</v>
      </c>
      <c r="O448" s="71" t="n">
        <v>46721</v>
      </c>
      <c r="P448" t="n">
        <v>25679.99679878049</v>
      </c>
      <c r="V448" t="n">
        <v>1</v>
      </c>
      <c r="W448" t="inlineStr">
        <is>
          <t>BALANCE TASAS</t>
        </is>
      </c>
      <c r="Y448" t="inlineStr">
        <is>
          <t>BALANCE TASAS</t>
        </is>
      </c>
      <c r="Z448" t="inlineStr">
        <is>
          <t>HTM</t>
        </is>
      </c>
      <c r="AA448" t="n">
        <v>1</v>
      </c>
    </row>
    <row r="449">
      <c r="A449" s="71" t="n">
        <v>45923</v>
      </c>
      <c r="B449" t="n">
        <v>1</v>
      </c>
      <c r="D449" t="inlineStr">
        <is>
          <t>PAS</t>
        </is>
      </c>
      <c r="E449" t="inlineStr">
        <is>
          <t>CLF</t>
        </is>
      </c>
      <c r="F449" t="inlineStr">
        <is>
          <t>CLF</t>
        </is>
      </c>
      <c r="H449" t="inlineStr">
        <is>
          <t>MT_CTA. AHORRO</t>
        </is>
      </c>
      <c r="I449" t="inlineStr">
        <is>
          <t>CTA. AHORRO G.DIF_CORE_CORE</t>
        </is>
      </c>
      <c r="K449" t="n">
        <v>28</v>
      </c>
      <c r="M449" s="71" t="n">
        <v>46752</v>
      </c>
      <c r="N449" s="71" t="n">
        <v>46752</v>
      </c>
      <c r="O449" s="71" t="n">
        <v>46752</v>
      </c>
      <c r="P449" t="n">
        <v>25679.99679878049</v>
      </c>
      <c r="V449" t="n">
        <v>1</v>
      </c>
      <c r="W449" t="inlineStr">
        <is>
          <t>BALANCE TASAS</t>
        </is>
      </c>
      <c r="Y449" t="inlineStr">
        <is>
          <t>BALANCE TASAS</t>
        </is>
      </c>
      <c r="Z449" t="inlineStr">
        <is>
          <t>HTM</t>
        </is>
      </c>
      <c r="AA449" t="n">
        <v>1</v>
      </c>
    </row>
    <row r="450">
      <c r="A450" s="71" t="n">
        <v>45923</v>
      </c>
      <c r="B450" t="n">
        <v>1</v>
      </c>
      <c r="D450" t="inlineStr">
        <is>
          <t>PAS</t>
        </is>
      </c>
      <c r="E450" t="inlineStr">
        <is>
          <t>CLF</t>
        </is>
      </c>
      <c r="F450" t="inlineStr">
        <is>
          <t>CLF</t>
        </is>
      </c>
      <c r="H450" t="inlineStr">
        <is>
          <t>MT_CTA. AHORRO</t>
        </is>
      </c>
      <c r="I450" t="inlineStr">
        <is>
          <t>CTA. AHORRO G.DIF_CORE_CORE</t>
        </is>
      </c>
      <c r="K450" t="n">
        <v>29</v>
      </c>
      <c r="M450" s="71" t="n">
        <v>46783</v>
      </c>
      <c r="N450" s="71" t="n">
        <v>46783</v>
      </c>
      <c r="O450" s="71" t="n">
        <v>46783</v>
      </c>
      <c r="P450" t="n">
        <v>25679.99679878049</v>
      </c>
      <c r="V450" t="n">
        <v>1</v>
      </c>
      <c r="W450" t="inlineStr">
        <is>
          <t>BALANCE TASAS</t>
        </is>
      </c>
      <c r="Y450" t="inlineStr">
        <is>
          <t>BALANCE TASAS</t>
        </is>
      </c>
      <c r="Z450" t="inlineStr">
        <is>
          <t>HTM</t>
        </is>
      </c>
      <c r="AA450" t="n">
        <v>1</v>
      </c>
    </row>
    <row r="451">
      <c r="A451" s="71" t="n">
        <v>45923</v>
      </c>
      <c r="B451" t="n">
        <v>1</v>
      </c>
      <c r="D451" t="inlineStr">
        <is>
          <t>PAS</t>
        </is>
      </c>
      <c r="E451" t="inlineStr">
        <is>
          <t>CLF</t>
        </is>
      </c>
      <c r="F451" t="inlineStr">
        <is>
          <t>CLF</t>
        </is>
      </c>
      <c r="H451" t="inlineStr">
        <is>
          <t>MT_CTA. AHORRO</t>
        </is>
      </c>
      <c r="I451" t="inlineStr">
        <is>
          <t>CTA. AHORRO G.DIF_CORE_CORE</t>
        </is>
      </c>
      <c r="K451" t="n">
        <v>30</v>
      </c>
      <c r="M451" s="71" t="n">
        <v>46812</v>
      </c>
      <c r="N451" s="71" t="n">
        <v>46812</v>
      </c>
      <c r="O451" s="71" t="n">
        <v>46812</v>
      </c>
      <c r="P451" t="n">
        <v>25679.99679878049</v>
      </c>
      <c r="V451" t="n">
        <v>1</v>
      </c>
      <c r="W451" t="inlineStr">
        <is>
          <t>BALANCE TASAS</t>
        </is>
      </c>
      <c r="Y451" t="inlineStr">
        <is>
          <t>BALANCE TASAS</t>
        </is>
      </c>
      <c r="Z451" t="inlineStr">
        <is>
          <t>HTM</t>
        </is>
      </c>
      <c r="AA451" t="n">
        <v>1</v>
      </c>
    </row>
    <row r="452">
      <c r="A452" s="71" t="n">
        <v>45923</v>
      </c>
      <c r="B452" t="n">
        <v>1</v>
      </c>
      <c r="D452" t="inlineStr">
        <is>
          <t>PAS</t>
        </is>
      </c>
      <c r="E452" t="inlineStr">
        <is>
          <t>CLF</t>
        </is>
      </c>
      <c r="F452" t="inlineStr">
        <is>
          <t>CLF</t>
        </is>
      </c>
      <c r="H452" t="inlineStr">
        <is>
          <t>MT_CTA. AHORRO</t>
        </is>
      </c>
      <c r="I452" t="inlineStr">
        <is>
          <t>CTA. AHORRO G.DIF_CORE_CORE</t>
        </is>
      </c>
      <c r="K452" t="n">
        <v>31</v>
      </c>
      <c r="M452" s="71" t="n">
        <v>46843</v>
      </c>
      <c r="N452" s="71" t="n">
        <v>46843</v>
      </c>
      <c r="O452" s="71" t="n">
        <v>46843</v>
      </c>
      <c r="P452" t="n">
        <v>25679.99679878049</v>
      </c>
      <c r="V452" t="n">
        <v>1</v>
      </c>
      <c r="W452" t="inlineStr">
        <is>
          <t>BALANCE TASAS</t>
        </is>
      </c>
      <c r="Y452" t="inlineStr">
        <is>
          <t>BALANCE TASAS</t>
        </is>
      </c>
      <c r="Z452" t="inlineStr">
        <is>
          <t>HTM</t>
        </is>
      </c>
      <c r="AA452" t="n">
        <v>1</v>
      </c>
    </row>
    <row r="453">
      <c r="A453" s="71" t="n">
        <v>45923</v>
      </c>
      <c r="B453" t="n">
        <v>1</v>
      </c>
      <c r="D453" t="inlineStr">
        <is>
          <t>PAS</t>
        </is>
      </c>
      <c r="E453" t="inlineStr">
        <is>
          <t>CLF</t>
        </is>
      </c>
      <c r="F453" t="inlineStr">
        <is>
          <t>CLF</t>
        </is>
      </c>
      <c r="H453" t="inlineStr">
        <is>
          <t>MT_CTA. AHORRO</t>
        </is>
      </c>
      <c r="I453" t="inlineStr">
        <is>
          <t>CTA. AHORRO G.DIF_CORE_CORE</t>
        </is>
      </c>
      <c r="K453" t="n">
        <v>32</v>
      </c>
      <c r="M453" s="71" t="n">
        <v>46873</v>
      </c>
      <c r="N453" s="71" t="n">
        <v>46873</v>
      </c>
      <c r="O453" s="71" t="n">
        <v>46873</v>
      </c>
      <c r="P453" t="n">
        <v>25679.99679878049</v>
      </c>
      <c r="V453" t="n">
        <v>1</v>
      </c>
      <c r="W453" t="inlineStr">
        <is>
          <t>BALANCE TASAS</t>
        </is>
      </c>
      <c r="Y453" t="inlineStr">
        <is>
          <t>BALANCE TASAS</t>
        </is>
      </c>
      <c r="Z453" t="inlineStr">
        <is>
          <t>HTM</t>
        </is>
      </c>
      <c r="AA453" t="n">
        <v>1</v>
      </c>
    </row>
    <row r="454">
      <c r="A454" s="71" t="n">
        <v>45923</v>
      </c>
      <c r="B454" t="n">
        <v>1</v>
      </c>
      <c r="D454" t="inlineStr">
        <is>
          <t>PAS</t>
        </is>
      </c>
      <c r="E454" t="inlineStr">
        <is>
          <t>CLF</t>
        </is>
      </c>
      <c r="F454" t="inlineStr">
        <is>
          <t>CLF</t>
        </is>
      </c>
      <c r="H454" t="inlineStr">
        <is>
          <t>MT_CTA. AHORRO</t>
        </is>
      </c>
      <c r="I454" t="inlineStr">
        <is>
          <t>CTA. AHORRO G.DIF_CORE_CORE</t>
        </is>
      </c>
      <c r="K454" t="n">
        <v>33</v>
      </c>
      <c r="M454" s="71" t="n">
        <v>46904</v>
      </c>
      <c r="N454" s="71" t="n">
        <v>46904</v>
      </c>
      <c r="O454" s="71" t="n">
        <v>46904</v>
      </c>
      <c r="P454" t="n">
        <v>25679.99679878049</v>
      </c>
      <c r="V454" t="n">
        <v>1</v>
      </c>
      <c r="W454" t="inlineStr">
        <is>
          <t>BALANCE TASAS</t>
        </is>
      </c>
      <c r="Y454" t="inlineStr">
        <is>
          <t>BALANCE TASAS</t>
        </is>
      </c>
      <c r="Z454" t="inlineStr">
        <is>
          <t>HTM</t>
        </is>
      </c>
      <c r="AA454" t="n">
        <v>1</v>
      </c>
    </row>
    <row r="455">
      <c r="A455" s="71" t="n">
        <v>45923</v>
      </c>
      <c r="B455" t="n">
        <v>1</v>
      </c>
      <c r="D455" t="inlineStr">
        <is>
          <t>PAS</t>
        </is>
      </c>
      <c r="E455" t="inlineStr">
        <is>
          <t>CLF</t>
        </is>
      </c>
      <c r="F455" t="inlineStr">
        <is>
          <t>CLF</t>
        </is>
      </c>
      <c r="H455" t="inlineStr">
        <is>
          <t>MT_CTA. AHORRO</t>
        </is>
      </c>
      <c r="I455" t="inlineStr">
        <is>
          <t>CTA. AHORRO G.DIF_CORE_CORE</t>
        </is>
      </c>
      <c r="K455" t="n">
        <v>34</v>
      </c>
      <c r="M455" s="71" t="n">
        <v>46934</v>
      </c>
      <c r="N455" s="71" t="n">
        <v>46934</v>
      </c>
      <c r="O455" s="71" t="n">
        <v>46934</v>
      </c>
      <c r="P455" t="n">
        <v>25679.99679878049</v>
      </c>
      <c r="V455" t="n">
        <v>1</v>
      </c>
      <c r="W455" t="inlineStr">
        <is>
          <t>BALANCE TASAS</t>
        </is>
      </c>
      <c r="Y455" t="inlineStr">
        <is>
          <t>BALANCE TASAS</t>
        </is>
      </c>
      <c r="Z455" t="inlineStr">
        <is>
          <t>HTM</t>
        </is>
      </c>
      <c r="AA455" t="n">
        <v>1</v>
      </c>
    </row>
    <row r="456">
      <c r="A456" s="71" t="n">
        <v>45923</v>
      </c>
      <c r="B456" t="n">
        <v>1</v>
      </c>
      <c r="D456" t="inlineStr">
        <is>
          <t>PAS</t>
        </is>
      </c>
      <c r="E456" t="inlineStr">
        <is>
          <t>CLF</t>
        </is>
      </c>
      <c r="F456" t="inlineStr">
        <is>
          <t>CLF</t>
        </is>
      </c>
      <c r="H456" t="inlineStr">
        <is>
          <t>MT_CTA. AHORRO</t>
        </is>
      </c>
      <c r="I456" t="inlineStr">
        <is>
          <t>CTA. AHORRO G.DIF_CORE_CORE</t>
        </is>
      </c>
      <c r="K456" t="n">
        <v>35</v>
      </c>
      <c r="M456" s="71" t="n">
        <v>46965</v>
      </c>
      <c r="N456" s="71" t="n">
        <v>46965</v>
      </c>
      <c r="O456" s="71" t="n">
        <v>46965</v>
      </c>
      <c r="P456" t="n">
        <v>25679.99679878049</v>
      </c>
      <c r="V456" t="n">
        <v>1</v>
      </c>
      <c r="W456" t="inlineStr">
        <is>
          <t>BALANCE TASAS</t>
        </is>
      </c>
      <c r="Y456" t="inlineStr">
        <is>
          <t>BALANCE TASAS</t>
        </is>
      </c>
      <c r="Z456" t="inlineStr">
        <is>
          <t>HTM</t>
        </is>
      </c>
      <c r="AA456" t="n">
        <v>1</v>
      </c>
    </row>
    <row r="457">
      <c r="A457" s="71" t="n">
        <v>45923</v>
      </c>
      <c r="B457" t="n">
        <v>1</v>
      </c>
      <c r="D457" t="inlineStr">
        <is>
          <t>PAS</t>
        </is>
      </c>
      <c r="E457" t="inlineStr">
        <is>
          <t>CLF</t>
        </is>
      </c>
      <c r="F457" t="inlineStr">
        <is>
          <t>CLF</t>
        </is>
      </c>
      <c r="H457" t="inlineStr">
        <is>
          <t>MT_CTA. AHORRO</t>
        </is>
      </c>
      <c r="I457" t="inlineStr">
        <is>
          <t>CTA. AHORRO G.DIF_CORE_CORE</t>
        </is>
      </c>
      <c r="K457" t="n">
        <v>36</v>
      </c>
      <c r="M457" s="71" t="n">
        <v>46996</v>
      </c>
      <c r="N457" s="71" t="n">
        <v>46996</v>
      </c>
      <c r="O457" s="71" t="n">
        <v>46996</v>
      </c>
      <c r="P457" t="n">
        <v>25679.99679878049</v>
      </c>
      <c r="V457" t="n">
        <v>1</v>
      </c>
      <c r="W457" t="inlineStr">
        <is>
          <t>BALANCE TASAS</t>
        </is>
      </c>
      <c r="Y457" t="inlineStr">
        <is>
          <t>BALANCE TASAS</t>
        </is>
      </c>
      <c r="Z457" t="inlineStr">
        <is>
          <t>HTM</t>
        </is>
      </c>
      <c r="AA457" t="n">
        <v>1</v>
      </c>
    </row>
    <row r="458">
      <c r="A458" s="71" t="n">
        <v>45923</v>
      </c>
      <c r="B458" t="n">
        <v>1</v>
      </c>
      <c r="D458" t="inlineStr">
        <is>
          <t>PAS</t>
        </is>
      </c>
      <c r="E458" t="inlineStr">
        <is>
          <t>CLF</t>
        </is>
      </c>
      <c r="F458" t="inlineStr">
        <is>
          <t>CLF</t>
        </is>
      </c>
      <c r="H458" t="inlineStr">
        <is>
          <t>MT_CTA. AHORRO</t>
        </is>
      </c>
      <c r="I458" t="inlineStr">
        <is>
          <t>CTA. AHORRO G.DIF_CORE_CORE</t>
        </is>
      </c>
      <c r="K458" t="n">
        <v>37</v>
      </c>
      <c r="M458" s="71" t="n">
        <v>47026</v>
      </c>
      <c r="N458" s="71" t="n">
        <v>47026</v>
      </c>
      <c r="O458" s="71" t="n">
        <v>47026</v>
      </c>
      <c r="P458" t="n">
        <v>25679.99679878049</v>
      </c>
      <c r="V458" t="n">
        <v>1</v>
      </c>
      <c r="W458" t="inlineStr">
        <is>
          <t>BALANCE TASAS</t>
        </is>
      </c>
      <c r="Y458" t="inlineStr">
        <is>
          <t>BALANCE TASAS</t>
        </is>
      </c>
      <c r="Z458" t="inlineStr">
        <is>
          <t>HTM</t>
        </is>
      </c>
      <c r="AA458" t="n">
        <v>1</v>
      </c>
    </row>
    <row r="459">
      <c r="A459" s="71" t="n">
        <v>45923</v>
      </c>
      <c r="B459" t="n">
        <v>1</v>
      </c>
      <c r="D459" t="inlineStr">
        <is>
          <t>PAS</t>
        </is>
      </c>
      <c r="E459" t="inlineStr">
        <is>
          <t>CLF</t>
        </is>
      </c>
      <c r="F459" t="inlineStr">
        <is>
          <t>CLF</t>
        </is>
      </c>
      <c r="H459" t="inlineStr">
        <is>
          <t>MT_CTA. AHORRO</t>
        </is>
      </c>
      <c r="I459" t="inlineStr">
        <is>
          <t>CTA. AHORRO G.DIF_CORE_CORE</t>
        </is>
      </c>
      <c r="K459" t="n">
        <v>38</v>
      </c>
      <c r="M459" s="71" t="n">
        <v>47057</v>
      </c>
      <c r="N459" s="71" t="n">
        <v>47057</v>
      </c>
      <c r="O459" s="71" t="n">
        <v>47057</v>
      </c>
      <c r="P459" t="n">
        <v>25679.99679878049</v>
      </c>
      <c r="V459" t="n">
        <v>1</v>
      </c>
      <c r="W459" t="inlineStr">
        <is>
          <t>BALANCE TASAS</t>
        </is>
      </c>
      <c r="Y459" t="inlineStr">
        <is>
          <t>BALANCE TASAS</t>
        </is>
      </c>
      <c r="Z459" t="inlineStr">
        <is>
          <t>HTM</t>
        </is>
      </c>
      <c r="AA459" t="n">
        <v>1</v>
      </c>
    </row>
    <row r="460">
      <c r="A460" s="71" t="n">
        <v>45923</v>
      </c>
      <c r="B460" t="n">
        <v>1</v>
      </c>
      <c r="D460" t="inlineStr">
        <is>
          <t>PAS</t>
        </is>
      </c>
      <c r="E460" t="inlineStr">
        <is>
          <t>CLF</t>
        </is>
      </c>
      <c r="F460" t="inlineStr">
        <is>
          <t>CLF</t>
        </is>
      </c>
      <c r="H460" t="inlineStr">
        <is>
          <t>MT_CTA. AHORRO</t>
        </is>
      </c>
      <c r="I460" t="inlineStr">
        <is>
          <t>CTA. AHORRO G.DIF_CORE_CORE</t>
        </is>
      </c>
      <c r="K460" t="n">
        <v>39</v>
      </c>
      <c r="M460" s="71" t="n">
        <v>47087</v>
      </c>
      <c r="N460" s="71" t="n">
        <v>47087</v>
      </c>
      <c r="O460" s="71" t="n">
        <v>47087</v>
      </c>
      <c r="P460" t="n">
        <v>25679.99679878049</v>
      </c>
      <c r="V460" t="n">
        <v>1</v>
      </c>
      <c r="W460" t="inlineStr">
        <is>
          <t>BALANCE TASAS</t>
        </is>
      </c>
      <c r="Y460" t="inlineStr">
        <is>
          <t>BALANCE TASAS</t>
        </is>
      </c>
      <c r="Z460" t="inlineStr">
        <is>
          <t>HTM</t>
        </is>
      </c>
      <c r="AA460" t="n">
        <v>1</v>
      </c>
    </row>
    <row r="461">
      <c r="A461" s="71" t="n">
        <v>45923</v>
      </c>
      <c r="B461" t="n">
        <v>1</v>
      </c>
      <c r="D461" t="inlineStr">
        <is>
          <t>PAS</t>
        </is>
      </c>
      <c r="E461" t="inlineStr">
        <is>
          <t>CLF</t>
        </is>
      </c>
      <c r="F461" t="inlineStr">
        <is>
          <t>CLF</t>
        </is>
      </c>
      <c r="H461" t="inlineStr">
        <is>
          <t>MT_CTA. AHORRO</t>
        </is>
      </c>
      <c r="I461" t="inlineStr">
        <is>
          <t>CTA. AHORRO G.DIF_CORE_CORE</t>
        </is>
      </c>
      <c r="K461" t="n">
        <v>40</v>
      </c>
      <c r="M461" s="71" t="n">
        <v>47118</v>
      </c>
      <c r="N461" s="71" t="n">
        <v>47118</v>
      </c>
      <c r="O461" s="71" t="n">
        <v>47118</v>
      </c>
      <c r="P461" t="n">
        <v>25679.99679878049</v>
      </c>
      <c r="V461" t="n">
        <v>1</v>
      </c>
      <c r="W461" t="inlineStr">
        <is>
          <t>BALANCE TASAS</t>
        </is>
      </c>
      <c r="Y461" t="inlineStr">
        <is>
          <t>BALANCE TASAS</t>
        </is>
      </c>
      <c r="Z461" t="inlineStr">
        <is>
          <t>HTM</t>
        </is>
      </c>
      <c r="AA461" t="n">
        <v>1</v>
      </c>
    </row>
    <row r="462">
      <c r="A462" s="71" t="n">
        <v>45923</v>
      </c>
      <c r="B462" t="n">
        <v>1</v>
      </c>
      <c r="D462" t="inlineStr">
        <is>
          <t>PAS</t>
        </is>
      </c>
      <c r="E462" t="inlineStr">
        <is>
          <t>CLF</t>
        </is>
      </c>
      <c r="F462" t="inlineStr">
        <is>
          <t>CLF</t>
        </is>
      </c>
      <c r="H462" t="inlineStr">
        <is>
          <t>MT_CTA. AHORRO</t>
        </is>
      </c>
      <c r="I462" t="inlineStr">
        <is>
          <t>CTA. AHORRO G.DIF_CORE_CORE</t>
        </is>
      </c>
      <c r="K462" t="n">
        <v>41</v>
      </c>
      <c r="M462" s="71" t="n">
        <v>47149</v>
      </c>
      <c r="N462" s="71" t="n">
        <v>47149</v>
      </c>
      <c r="O462" s="71" t="n">
        <v>47149</v>
      </c>
      <c r="P462" t="n">
        <v>25679.99679878049</v>
      </c>
      <c r="V462" t="n">
        <v>1</v>
      </c>
      <c r="W462" t="inlineStr">
        <is>
          <t>BALANCE TASAS</t>
        </is>
      </c>
      <c r="Y462" t="inlineStr">
        <is>
          <t>BALANCE TASAS</t>
        </is>
      </c>
      <c r="Z462" t="inlineStr">
        <is>
          <t>HTM</t>
        </is>
      </c>
      <c r="AA462" t="n">
        <v>1</v>
      </c>
    </row>
    <row r="463">
      <c r="A463" s="71" t="n">
        <v>45923</v>
      </c>
      <c r="B463" t="n">
        <v>1</v>
      </c>
      <c r="D463" t="inlineStr">
        <is>
          <t>PAS</t>
        </is>
      </c>
      <c r="E463" t="inlineStr">
        <is>
          <t>CLF</t>
        </is>
      </c>
      <c r="F463" t="inlineStr">
        <is>
          <t>CLF</t>
        </is>
      </c>
      <c r="H463" t="inlineStr">
        <is>
          <t>MT_CTA. AHORRO</t>
        </is>
      </c>
      <c r="I463" t="inlineStr">
        <is>
          <t>CTA. AHORRO G.DIF_CORE_CORE</t>
        </is>
      </c>
      <c r="K463" t="n">
        <v>42</v>
      </c>
      <c r="M463" s="71" t="n">
        <v>47177</v>
      </c>
      <c r="N463" s="71" t="n">
        <v>47177</v>
      </c>
      <c r="O463" s="71" t="n">
        <v>47177</v>
      </c>
      <c r="P463" t="n">
        <v>25679.99679878049</v>
      </c>
      <c r="V463" t="n">
        <v>1</v>
      </c>
      <c r="W463" t="inlineStr">
        <is>
          <t>BALANCE TASAS</t>
        </is>
      </c>
      <c r="Y463" t="inlineStr">
        <is>
          <t>BALANCE TASAS</t>
        </is>
      </c>
      <c r="Z463" t="inlineStr">
        <is>
          <t>HTM</t>
        </is>
      </c>
      <c r="AA463" t="n">
        <v>1</v>
      </c>
    </row>
    <row r="464">
      <c r="A464" s="71" t="n">
        <v>45923</v>
      </c>
      <c r="B464" t="n">
        <v>1</v>
      </c>
      <c r="D464" t="inlineStr">
        <is>
          <t>PAS</t>
        </is>
      </c>
      <c r="E464" t="inlineStr">
        <is>
          <t>CLF</t>
        </is>
      </c>
      <c r="F464" t="inlineStr">
        <is>
          <t>CLF</t>
        </is>
      </c>
      <c r="H464" t="inlineStr">
        <is>
          <t>MT_CTA. AHORRO</t>
        </is>
      </c>
      <c r="I464" t="inlineStr">
        <is>
          <t>CTA. AHORRO G.DIF_CORE_CORE</t>
        </is>
      </c>
      <c r="K464" t="n">
        <v>43</v>
      </c>
      <c r="M464" s="71" t="n">
        <v>47208</v>
      </c>
      <c r="N464" s="71" t="n">
        <v>47208</v>
      </c>
      <c r="O464" s="71" t="n">
        <v>47208</v>
      </c>
      <c r="P464" t="n">
        <v>25679.99679878049</v>
      </c>
      <c r="V464" t="n">
        <v>1</v>
      </c>
      <c r="W464" t="inlineStr">
        <is>
          <t>BALANCE TASAS</t>
        </is>
      </c>
      <c r="Y464" t="inlineStr">
        <is>
          <t>BALANCE TASAS</t>
        </is>
      </c>
      <c r="Z464" t="inlineStr">
        <is>
          <t>HTM</t>
        </is>
      </c>
      <c r="AA464" t="n">
        <v>1</v>
      </c>
    </row>
    <row r="465">
      <c r="A465" s="71" t="n">
        <v>45923</v>
      </c>
      <c r="B465" t="n">
        <v>1</v>
      </c>
      <c r="D465" t="inlineStr">
        <is>
          <t>PAS</t>
        </is>
      </c>
      <c r="E465" t="inlineStr">
        <is>
          <t>CLF</t>
        </is>
      </c>
      <c r="F465" t="inlineStr">
        <is>
          <t>CLF</t>
        </is>
      </c>
      <c r="H465" t="inlineStr">
        <is>
          <t>MT_CTA. AHORRO</t>
        </is>
      </c>
      <c r="I465" t="inlineStr">
        <is>
          <t>CTA. AHORRO G.DIF_CORE_CORE</t>
        </is>
      </c>
      <c r="K465" t="n">
        <v>44</v>
      </c>
      <c r="M465" s="71" t="n">
        <v>47238</v>
      </c>
      <c r="N465" s="71" t="n">
        <v>47238</v>
      </c>
      <c r="O465" s="71" t="n">
        <v>47238</v>
      </c>
      <c r="P465" t="n">
        <v>25679.99679878049</v>
      </c>
      <c r="V465" t="n">
        <v>1</v>
      </c>
      <c r="W465" t="inlineStr">
        <is>
          <t>BALANCE TASAS</t>
        </is>
      </c>
      <c r="Y465" t="inlineStr">
        <is>
          <t>BALANCE TASAS</t>
        </is>
      </c>
      <c r="Z465" t="inlineStr">
        <is>
          <t>HTM</t>
        </is>
      </c>
      <c r="AA465" t="n">
        <v>1</v>
      </c>
    </row>
    <row r="466">
      <c r="A466" s="71" t="n">
        <v>45923</v>
      </c>
      <c r="B466" t="n">
        <v>1</v>
      </c>
      <c r="D466" t="inlineStr">
        <is>
          <t>PAS</t>
        </is>
      </c>
      <c r="E466" t="inlineStr">
        <is>
          <t>CLF</t>
        </is>
      </c>
      <c r="F466" t="inlineStr">
        <is>
          <t>CLF</t>
        </is>
      </c>
      <c r="H466" t="inlineStr">
        <is>
          <t>MT_CTA. AHORRO</t>
        </is>
      </c>
      <c r="I466" t="inlineStr">
        <is>
          <t>CTA. AHORRO G.DIF_CORE_CORE</t>
        </is>
      </c>
      <c r="K466" t="n">
        <v>45</v>
      </c>
      <c r="M466" s="71" t="n">
        <v>47269</v>
      </c>
      <c r="N466" s="71" t="n">
        <v>47269</v>
      </c>
      <c r="O466" s="71" t="n">
        <v>47269</v>
      </c>
      <c r="P466" t="n">
        <v>25679.99679878049</v>
      </c>
      <c r="V466" t="n">
        <v>1</v>
      </c>
      <c r="W466" t="inlineStr">
        <is>
          <t>BALANCE TASAS</t>
        </is>
      </c>
      <c r="Y466" t="inlineStr">
        <is>
          <t>BALANCE TASAS</t>
        </is>
      </c>
      <c r="Z466" t="inlineStr">
        <is>
          <t>HTM</t>
        </is>
      </c>
      <c r="AA466" t="n">
        <v>1</v>
      </c>
    </row>
    <row r="467">
      <c r="A467" s="71" t="n">
        <v>45923</v>
      </c>
      <c r="B467" t="n">
        <v>1</v>
      </c>
      <c r="D467" t="inlineStr">
        <is>
          <t>PAS</t>
        </is>
      </c>
      <c r="E467" t="inlineStr">
        <is>
          <t>CLF</t>
        </is>
      </c>
      <c r="F467" t="inlineStr">
        <is>
          <t>CLF</t>
        </is>
      </c>
      <c r="H467" t="inlineStr">
        <is>
          <t>MT_CTA. AHORRO</t>
        </is>
      </c>
      <c r="I467" t="inlineStr">
        <is>
          <t>CTA. AHORRO G.DIF_CORE_CORE</t>
        </is>
      </c>
      <c r="K467" t="n">
        <v>46</v>
      </c>
      <c r="M467" s="71" t="n">
        <v>47299</v>
      </c>
      <c r="N467" s="71" t="n">
        <v>47299</v>
      </c>
      <c r="O467" s="71" t="n">
        <v>47299</v>
      </c>
      <c r="P467" t="n">
        <v>25679.99679878049</v>
      </c>
      <c r="V467" t="n">
        <v>1</v>
      </c>
      <c r="W467" t="inlineStr">
        <is>
          <t>BALANCE TASAS</t>
        </is>
      </c>
      <c r="Y467" t="inlineStr">
        <is>
          <t>BALANCE TASAS</t>
        </is>
      </c>
      <c r="Z467" t="inlineStr">
        <is>
          <t>HTM</t>
        </is>
      </c>
      <c r="AA467" t="n">
        <v>1</v>
      </c>
    </row>
    <row r="468">
      <c r="A468" s="71" t="n">
        <v>45923</v>
      </c>
      <c r="B468" t="n">
        <v>1</v>
      </c>
      <c r="D468" t="inlineStr">
        <is>
          <t>PAS</t>
        </is>
      </c>
      <c r="E468" t="inlineStr">
        <is>
          <t>CLF</t>
        </is>
      </c>
      <c r="F468" t="inlineStr">
        <is>
          <t>CLF</t>
        </is>
      </c>
      <c r="H468" t="inlineStr">
        <is>
          <t>MT_CTA. AHORRO</t>
        </is>
      </c>
      <c r="I468" t="inlineStr">
        <is>
          <t>CTA. AHORRO G.DIF_CORE_CORE</t>
        </is>
      </c>
      <c r="K468" t="n">
        <v>47</v>
      </c>
      <c r="M468" s="71" t="n">
        <v>47330</v>
      </c>
      <c r="N468" s="71" t="n">
        <v>47330</v>
      </c>
      <c r="O468" s="71" t="n">
        <v>47330</v>
      </c>
      <c r="P468" t="n">
        <v>25679.99679878049</v>
      </c>
      <c r="V468" t="n">
        <v>1</v>
      </c>
      <c r="W468" t="inlineStr">
        <is>
          <t>BALANCE TASAS</t>
        </is>
      </c>
      <c r="Y468" t="inlineStr">
        <is>
          <t>BALANCE TASAS</t>
        </is>
      </c>
      <c r="Z468" t="inlineStr">
        <is>
          <t>HTM</t>
        </is>
      </c>
      <c r="AA468" t="n">
        <v>1</v>
      </c>
    </row>
    <row r="469">
      <c r="A469" s="71" t="n">
        <v>45923</v>
      </c>
      <c r="B469" t="n">
        <v>1</v>
      </c>
      <c r="D469" t="inlineStr">
        <is>
          <t>PAS</t>
        </is>
      </c>
      <c r="E469" t="inlineStr">
        <is>
          <t>CLF</t>
        </is>
      </c>
      <c r="F469" t="inlineStr">
        <is>
          <t>CLF</t>
        </is>
      </c>
      <c r="H469" t="inlineStr">
        <is>
          <t>MT_CTA. AHORRO</t>
        </is>
      </c>
      <c r="I469" t="inlineStr">
        <is>
          <t>CTA. AHORRO G.DIF_CORE_CORE</t>
        </is>
      </c>
      <c r="K469" t="n">
        <v>48</v>
      </c>
      <c r="M469" s="71" t="n">
        <v>47361</v>
      </c>
      <c r="N469" s="71" t="n">
        <v>47361</v>
      </c>
      <c r="O469" s="71" t="n">
        <v>47361</v>
      </c>
      <c r="P469" t="n">
        <v>25679.99679878049</v>
      </c>
      <c r="V469" t="n">
        <v>1</v>
      </c>
      <c r="W469" t="inlineStr">
        <is>
          <t>BALANCE TASAS</t>
        </is>
      </c>
      <c r="Y469" t="inlineStr">
        <is>
          <t>BALANCE TASAS</t>
        </is>
      </c>
      <c r="Z469" t="inlineStr">
        <is>
          <t>HTM</t>
        </is>
      </c>
      <c r="AA469" t="n">
        <v>1</v>
      </c>
    </row>
    <row r="470">
      <c r="A470" s="71" t="n">
        <v>45923</v>
      </c>
      <c r="B470" t="n">
        <v>1</v>
      </c>
      <c r="D470" t="inlineStr">
        <is>
          <t>PAS</t>
        </is>
      </c>
      <c r="E470" t="inlineStr">
        <is>
          <t>CLF</t>
        </is>
      </c>
      <c r="F470" t="inlineStr">
        <is>
          <t>CLF</t>
        </is>
      </c>
      <c r="H470" t="inlineStr">
        <is>
          <t>MT_CTA. AHORRO</t>
        </is>
      </c>
      <c r="I470" t="inlineStr">
        <is>
          <t>CTA. AHORRO G.DIF_CORE_CORE</t>
        </is>
      </c>
      <c r="K470" t="n">
        <v>49</v>
      </c>
      <c r="M470" s="71" t="n">
        <v>47391</v>
      </c>
      <c r="N470" s="71" t="n">
        <v>47391</v>
      </c>
      <c r="O470" s="71" t="n">
        <v>47391</v>
      </c>
      <c r="P470" t="n">
        <v>25679.99679878049</v>
      </c>
      <c r="V470" t="n">
        <v>1</v>
      </c>
      <c r="W470" t="inlineStr">
        <is>
          <t>BALANCE TASAS</t>
        </is>
      </c>
      <c r="Y470" t="inlineStr">
        <is>
          <t>BALANCE TASAS</t>
        </is>
      </c>
      <c r="Z470" t="inlineStr">
        <is>
          <t>HTM</t>
        </is>
      </c>
      <c r="AA470" t="n">
        <v>1</v>
      </c>
    </row>
    <row r="471">
      <c r="A471" s="71" t="n">
        <v>45923</v>
      </c>
      <c r="B471" t="n">
        <v>1</v>
      </c>
      <c r="D471" t="inlineStr">
        <is>
          <t>PAS</t>
        </is>
      </c>
      <c r="E471" t="inlineStr">
        <is>
          <t>CLF</t>
        </is>
      </c>
      <c r="F471" t="inlineStr">
        <is>
          <t>CLF</t>
        </is>
      </c>
      <c r="H471" t="inlineStr">
        <is>
          <t>MT_CTA. AHORRO</t>
        </is>
      </c>
      <c r="I471" t="inlineStr">
        <is>
          <t>CTA. AHORRO G.DIF_CORE_CORE</t>
        </is>
      </c>
      <c r="K471" t="n">
        <v>50</v>
      </c>
      <c r="M471" s="71" t="n">
        <v>47422</v>
      </c>
      <c r="N471" s="71" t="n">
        <v>47422</v>
      </c>
      <c r="O471" s="71" t="n">
        <v>47422</v>
      </c>
      <c r="P471" t="n">
        <v>25679.99679878049</v>
      </c>
      <c r="V471" t="n">
        <v>1</v>
      </c>
      <c r="W471" t="inlineStr">
        <is>
          <t>BALANCE TASAS</t>
        </is>
      </c>
      <c r="Y471" t="inlineStr">
        <is>
          <t>BALANCE TASAS</t>
        </is>
      </c>
      <c r="Z471" t="inlineStr">
        <is>
          <t>HTM</t>
        </is>
      </c>
      <c r="AA471" t="n">
        <v>1</v>
      </c>
    </row>
    <row r="472">
      <c r="A472" s="71" t="n">
        <v>45923</v>
      </c>
      <c r="B472" t="n">
        <v>1</v>
      </c>
      <c r="D472" t="inlineStr">
        <is>
          <t>PAS</t>
        </is>
      </c>
      <c r="E472" t="inlineStr">
        <is>
          <t>CLF</t>
        </is>
      </c>
      <c r="F472" t="inlineStr">
        <is>
          <t>CLF</t>
        </is>
      </c>
      <c r="H472" t="inlineStr">
        <is>
          <t>MT_CTA. AHORRO</t>
        </is>
      </c>
      <c r="I472" t="inlineStr">
        <is>
          <t>CTA. AHORRO G.DIF_CORE_CORE</t>
        </is>
      </c>
      <c r="K472" t="n">
        <v>51</v>
      </c>
      <c r="M472" s="71" t="n">
        <v>47452</v>
      </c>
      <c r="N472" s="71" t="n">
        <v>47452</v>
      </c>
      <c r="O472" s="71" t="n">
        <v>47452</v>
      </c>
      <c r="P472" t="n">
        <v>25679.99679878049</v>
      </c>
      <c r="V472" t="n">
        <v>1</v>
      </c>
      <c r="W472" t="inlineStr">
        <is>
          <t>BALANCE TASAS</t>
        </is>
      </c>
      <c r="Y472" t="inlineStr">
        <is>
          <t>BALANCE TASAS</t>
        </is>
      </c>
      <c r="Z472" t="inlineStr">
        <is>
          <t>HTM</t>
        </is>
      </c>
      <c r="AA472" t="n">
        <v>1</v>
      </c>
    </row>
    <row r="473">
      <c r="A473" s="71" t="n">
        <v>45923</v>
      </c>
      <c r="B473" t="n">
        <v>1</v>
      </c>
      <c r="D473" t="inlineStr">
        <is>
          <t>PAS</t>
        </is>
      </c>
      <c r="E473" t="inlineStr">
        <is>
          <t>CLF</t>
        </is>
      </c>
      <c r="F473" t="inlineStr">
        <is>
          <t>CLF</t>
        </is>
      </c>
      <c r="H473" t="inlineStr">
        <is>
          <t>MT_CTA. AHORRO</t>
        </is>
      </c>
      <c r="I473" t="inlineStr">
        <is>
          <t>CTA. AHORRO G.DIF_CORE_CORE</t>
        </is>
      </c>
      <c r="K473" t="n">
        <v>52</v>
      </c>
      <c r="M473" s="71" t="n">
        <v>47483</v>
      </c>
      <c r="N473" s="71" t="n">
        <v>47483</v>
      </c>
      <c r="O473" s="71" t="n">
        <v>47483</v>
      </c>
      <c r="P473" t="n">
        <v>25679.99679878049</v>
      </c>
      <c r="V473" t="n">
        <v>1</v>
      </c>
      <c r="W473" t="inlineStr">
        <is>
          <t>BALANCE TASAS</t>
        </is>
      </c>
      <c r="Y473" t="inlineStr">
        <is>
          <t>BALANCE TASAS</t>
        </is>
      </c>
      <c r="Z473" t="inlineStr">
        <is>
          <t>HTM</t>
        </is>
      </c>
      <c r="AA473" t="n">
        <v>1</v>
      </c>
    </row>
    <row r="474">
      <c r="A474" s="71" t="n">
        <v>45923</v>
      </c>
      <c r="B474" t="n">
        <v>1</v>
      </c>
      <c r="D474" t="inlineStr">
        <is>
          <t>PAS</t>
        </is>
      </c>
      <c r="E474" t="inlineStr">
        <is>
          <t>CLF</t>
        </is>
      </c>
      <c r="F474" t="inlineStr">
        <is>
          <t>CLF</t>
        </is>
      </c>
      <c r="H474" t="inlineStr">
        <is>
          <t>MT_CTA. AHORRO</t>
        </is>
      </c>
      <c r="I474" t="inlineStr">
        <is>
          <t>CTA. AHORRO G.DIF_CORE_CORE</t>
        </is>
      </c>
      <c r="K474" t="n">
        <v>53</v>
      </c>
      <c r="M474" s="71" t="n">
        <v>47514</v>
      </c>
      <c r="N474" s="71" t="n">
        <v>47514</v>
      </c>
      <c r="O474" s="71" t="n">
        <v>47514</v>
      </c>
      <c r="P474" t="n">
        <v>25679.99679878049</v>
      </c>
      <c r="V474" t="n">
        <v>1</v>
      </c>
      <c r="W474" t="inlineStr">
        <is>
          <t>BALANCE TASAS</t>
        </is>
      </c>
      <c r="Y474" t="inlineStr">
        <is>
          <t>BALANCE TASAS</t>
        </is>
      </c>
      <c r="Z474" t="inlineStr">
        <is>
          <t>HTM</t>
        </is>
      </c>
      <c r="AA474" t="n">
        <v>1</v>
      </c>
    </row>
    <row r="475">
      <c r="A475" s="71" t="n">
        <v>45923</v>
      </c>
      <c r="B475" t="n">
        <v>1</v>
      </c>
      <c r="D475" t="inlineStr">
        <is>
          <t>PAS</t>
        </is>
      </c>
      <c r="E475" t="inlineStr">
        <is>
          <t>CLF</t>
        </is>
      </c>
      <c r="F475" t="inlineStr">
        <is>
          <t>CLF</t>
        </is>
      </c>
      <c r="H475" t="inlineStr">
        <is>
          <t>MT_CTA. AHORRO</t>
        </is>
      </c>
      <c r="I475" t="inlineStr">
        <is>
          <t>CTA. AHORRO G.DIF_CORE_CORE</t>
        </is>
      </c>
      <c r="K475" t="n">
        <v>54</v>
      </c>
      <c r="M475" s="71" t="n">
        <v>47542</v>
      </c>
      <c r="N475" s="71" t="n">
        <v>47542</v>
      </c>
      <c r="O475" s="71" t="n">
        <v>47542</v>
      </c>
      <c r="P475" t="n">
        <v>25679.99679878049</v>
      </c>
      <c r="V475" t="n">
        <v>1</v>
      </c>
      <c r="W475" t="inlineStr">
        <is>
          <t>BALANCE TASAS</t>
        </is>
      </c>
      <c r="Y475" t="inlineStr">
        <is>
          <t>BALANCE TASAS</t>
        </is>
      </c>
      <c r="Z475" t="inlineStr">
        <is>
          <t>HTM</t>
        </is>
      </c>
      <c r="AA475" t="n">
        <v>1</v>
      </c>
    </row>
    <row r="476">
      <c r="A476" s="71" t="n">
        <v>45923</v>
      </c>
      <c r="B476" t="n">
        <v>1</v>
      </c>
      <c r="D476" t="inlineStr">
        <is>
          <t>PAS</t>
        </is>
      </c>
      <c r="E476" t="inlineStr">
        <is>
          <t>CLF</t>
        </is>
      </c>
      <c r="F476" t="inlineStr">
        <is>
          <t>CLF</t>
        </is>
      </c>
      <c r="H476" t="inlineStr">
        <is>
          <t>MT_CTA. AHORRO</t>
        </is>
      </c>
      <c r="I476" t="inlineStr">
        <is>
          <t>CTA. AHORRO G.DIF_CORE_CORE</t>
        </is>
      </c>
      <c r="K476" t="n">
        <v>55</v>
      </c>
      <c r="M476" s="71" t="n">
        <v>47573</v>
      </c>
      <c r="N476" s="71" t="n">
        <v>47573</v>
      </c>
      <c r="O476" s="71" t="n">
        <v>47573</v>
      </c>
      <c r="P476" t="n">
        <v>25679.99679878049</v>
      </c>
      <c r="V476" t="n">
        <v>1</v>
      </c>
      <c r="W476" t="inlineStr">
        <is>
          <t>BALANCE TASAS</t>
        </is>
      </c>
      <c r="Y476" t="inlineStr">
        <is>
          <t>BALANCE TASAS</t>
        </is>
      </c>
      <c r="Z476" t="inlineStr">
        <is>
          <t>HTM</t>
        </is>
      </c>
      <c r="AA476" t="n">
        <v>1</v>
      </c>
    </row>
    <row r="477">
      <c r="A477" s="71" t="n">
        <v>45923</v>
      </c>
      <c r="B477" t="n">
        <v>1</v>
      </c>
      <c r="D477" t="inlineStr">
        <is>
          <t>PAS</t>
        </is>
      </c>
      <c r="E477" t="inlineStr">
        <is>
          <t>CLF</t>
        </is>
      </c>
      <c r="F477" t="inlineStr">
        <is>
          <t>CLF</t>
        </is>
      </c>
      <c r="H477" t="inlineStr">
        <is>
          <t>MT_CTA. AHORRO</t>
        </is>
      </c>
      <c r="I477" t="inlineStr">
        <is>
          <t>CTA. AHORRO G.DIF_CORE_CORE</t>
        </is>
      </c>
      <c r="K477" t="n">
        <v>56</v>
      </c>
      <c r="M477" s="71" t="n">
        <v>47603</v>
      </c>
      <c r="N477" s="71" t="n">
        <v>47603</v>
      </c>
      <c r="O477" s="71" t="n">
        <v>47603</v>
      </c>
      <c r="P477" t="n">
        <v>25679.99679878049</v>
      </c>
      <c r="V477" t="n">
        <v>1</v>
      </c>
      <c r="W477" t="inlineStr">
        <is>
          <t>BALANCE TASAS</t>
        </is>
      </c>
      <c r="Y477" t="inlineStr">
        <is>
          <t>BALANCE TASAS</t>
        </is>
      </c>
      <c r="Z477" t="inlineStr">
        <is>
          <t>HTM</t>
        </is>
      </c>
      <c r="AA477" t="n">
        <v>1</v>
      </c>
    </row>
    <row r="478">
      <c r="A478" s="71" t="n">
        <v>45923</v>
      </c>
      <c r="B478" t="n">
        <v>1</v>
      </c>
      <c r="D478" t="inlineStr">
        <is>
          <t>PAS</t>
        </is>
      </c>
      <c r="E478" t="inlineStr">
        <is>
          <t>CLF</t>
        </is>
      </c>
      <c r="F478" t="inlineStr">
        <is>
          <t>CLF</t>
        </is>
      </c>
      <c r="H478" t="inlineStr">
        <is>
          <t>MT_CTA. AHORRO</t>
        </is>
      </c>
      <c r="I478" t="inlineStr">
        <is>
          <t>CTA. AHORRO G.DIF_CORE_CORE</t>
        </is>
      </c>
      <c r="K478" t="n">
        <v>57</v>
      </c>
      <c r="M478" s="71" t="n">
        <v>47634</v>
      </c>
      <c r="N478" s="71" t="n">
        <v>47634</v>
      </c>
      <c r="O478" s="71" t="n">
        <v>47634</v>
      </c>
      <c r="P478" t="n">
        <v>25679.99679878049</v>
      </c>
      <c r="V478" t="n">
        <v>1</v>
      </c>
      <c r="W478" t="inlineStr">
        <is>
          <t>BALANCE TASAS</t>
        </is>
      </c>
      <c r="Y478" t="inlineStr">
        <is>
          <t>BALANCE TASAS</t>
        </is>
      </c>
      <c r="Z478" t="inlineStr">
        <is>
          <t>HTM</t>
        </is>
      </c>
      <c r="AA478" t="n">
        <v>1</v>
      </c>
    </row>
    <row r="479">
      <c r="A479" s="71" t="n">
        <v>45923</v>
      </c>
      <c r="B479" t="n">
        <v>1</v>
      </c>
      <c r="D479" t="inlineStr">
        <is>
          <t>PAS</t>
        </is>
      </c>
      <c r="E479" t="inlineStr">
        <is>
          <t>CLF</t>
        </is>
      </c>
      <c r="F479" t="inlineStr">
        <is>
          <t>CLF</t>
        </is>
      </c>
      <c r="H479" t="inlineStr">
        <is>
          <t>MT_CTA. AHORRO</t>
        </is>
      </c>
      <c r="I479" t="inlineStr">
        <is>
          <t>CTA. AHORRO G.DIF_CORE_CORE</t>
        </is>
      </c>
      <c r="K479" t="n">
        <v>58</v>
      </c>
      <c r="M479" s="71" t="n">
        <v>47664</v>
      </c>
      <c r="N479" s="71" t="n">
        <v>47664</v>
      </c>
      <c r="O479" s="71" t="n">
        <v>47664</v>
      </c>
      <c r="P479" t="n">
        <v>25679.99679878049</v>
      </c>
      <c r="V479" t="n">
        <v>1</v>
      </c>
      <c r="W479" t="inlineStr">
        <is>
          <t>BALANCE TASAS</t>
        </is>
      </c>
      <c r="Y479" t="inlineStr">
        <is>
          <t>BALANCE TASAS</t>
        </is>
      </c>
      <c r="Z479" t="inlineStr">
        <is>
          <t>HTM</t>
        </is>
      </c>
      <c r="AA479" t="n">
        <v>1</v>
      </c>
    </row>
    <row r="480">
      <c r="A480" s="71" t="n">
        <v>45923</v>
      </c>
      <c r="B480" t="n">
        <v>1</v>
      </c>
      <c r="D480" t="inlineStr">
        <is>
          <t>PAS</t>
        </is>
      </c>
      <c r="E480" t="inlineStr">
        <is>
          <t>CLF</t>
        </is>
      </c>
      <c r="F480" t="inlineStr">
        <is>
          <t>CLF</t>
        </is>
      </c>
      <c r="H480" t="inlineStr">
        <is>
          <t>MT_CTA. AHORRO</t>
        </is>
      </c>
      <c r="I480" t="inlineStr">
        <is>
          <t>CTA. AHORRO G.DIF_CORE_CORE</t>
        </is>
      </c>
      <c r="K480" t="n">
        <v>59</v>
      </c>
      <c r="M480" s="71" t="n">
        <v>47695</v>
      </c>
      <c r="N480" s="71" t="n">
        <v>47695</v>
      </c>
      <c r="O480" s="71" t="n">
        <v>47695</v>
      </c>
      <c r="P480" t="n">
        <v>25679.99679878049</v>
      </c>
      <c r="V480" t="n">
        <v>1</v>
      </c>
      <c r="W480" t="inlineStr">
        <is>
          <t>BALANCE TASAS</t>
        </is>
      </c>
      <c r="Y480" t="inlineStr">
        <is>
          <t>BALANCE TASAS</t>
        </is>
      </c>
      <c r="Z480" t="inlineStr">
        <is>
          <t>HTM</t>
        </is>
      </c>
      <c r="AA480" t="n">
        <v>1</v>
      </c>
    </row>
    <row r="481">
      <c r="A481" s="71" t="n">
        <v>45923</v>
      </c>
      <c r="B481" t="n">
        <v>1</v>
      </c>
      <c r="D481" t="inlineStr">
        <is>
          <t>PAS</t>
        </is>
      </c>
      <c r="E481" t="inlineStr">
        <is>
          <t>CLF</t>
        </is>
      </c>
      <c r="F481" t="inlineStr">
        <is>
          <t>CLF</t>
        </is>
      </c>
      <c r="H481" t="inlineStr">
        <is>
          <t>MT_CTA. AHORRO</t>
        </is>
      </c>
      <c r="I481" t="inlineStr">
        <is>
          <t>CTA. AHORRO G.DIF_CORE_CORE</t>
        </is>
      </c>
      <c r="K481" t="n">
        <v>60</v>
      </c>
      <c r="M481" s="71" t="n">
        <v>47726</v>
      </c>
      <c r="N481" s="71" t="n">
        <v>47726</v>
      </c>
      <c r="O481" s="71" t="n">
        <v>47726</v>
      </c>
      <c r="P481" t="n">
        <v>25679.99679878049</v>
      </c>
      <c r="V481" t="n">
        <v>1</v>
      </c>
      <c r="W481" t="inlineStr">
        <is>
          <t>BALANCE TASAS</t>
        </is>
      </c>
      <c r="Y481" t="inlineStr">
        <is>
          <t>BALANCE TASAS</t>
        </is>
      </c>
      <c r="Z481" t="inlineStr">
        <is>
          <t>HTM</t>
        </is>
      </c>
      <c r="AA481" t="n">
        <v>1</v>
      </c>
    </row>
    <row r="482">
      <c r="A482" s="71" t="n">
        <v>45923</v>
      </c>
      <c r="B482" t="n">
        <v>1</v>
      </c>
      <c r="D482" t="inlineStr">
        <is>
          <t>PAS</t>
        </is>
      </c>
      <c r="E482" t="inlineStr">
        <is>
          <t>CLF</t>
        </is>
      </c>
      <c r="F482" t="inlineStr">
        <is>
          <t>CLF</t>
        </is>
      </c>
      <c r="H482" t="inlineStr">
        <is>
          <t>MT_CTA. AHORRO</t>
        </is>
      </c>
      <c r="I482" t="inlineStr">
        <is>
          <t>CTA. AHORRO G.DIF_CORE_CORE</t>
        </is>
      </c>
      <c r="K482" t="n">
        <v>61</v>
      </c>
      <c r="M482" s="71" t="n">
        <v>47756</v>
      </c>
      <c r="N482" s="71" t="n">
        <v>47756</v>
      </c>
      <c r="O482" s="71" t="n">
        <v>47756</v>
      </c>
      <c r="P482" t="n">
        <v>25679.99679878049</v>
      </c>
      <c r="V482" t="n">
        <v>1</v>
      </c>
      <c r="W482" t="inlineStr">
        <is>
          <t>BALANCE TASAS</t>
        </is>
      </c>
      <c r="Y482" t="inlineStr">
        <is>
          <t>BALANCE TASAS</t>
        </is>
      </c>
      <c r="Z482" t="inlineStr">
        <is>
          <t>HTM</t>
        </is>
      </c>
      <c r="AA482" t="n">
        <v>1</v>
      </c>
    </row>
    <row r="483">
      <c r="A483" s="71" t="n">
        <v>45923</v>
      </c>
      <c r="B483" t="n">
        <v>1</v>
      </c>
      <c r="D483" t="inlineStr">
        <is>
          <t>PAS</t>
        </is>
      </c>
      <c r="E483" t="inlineStr">
        <is>
          <t>CLF</t>
        </is>
      </c>
      <c r="F483" t="inlineStr">
        <is>
          <t>CLF</t>
        </is>
      </c>
      <c r="H483" t="inlineStr">
        <is>
          <t>MT_CTA. AHORRO</t>
        </is>
      </c>
      <c r="I483" t="inlineStr">
        <is>
          <t>CTA. AHORRO G.DIF_CORE_CORE</t>
        </is>
      </c>
      <c r="K483" t="n">
        <v>62</v>
      </c>
      <c r="M483" s="71" t="n">
        <v>47787</v>
      </c>
      <c r="N483" s="71" t="n">
        <v>47787</v>
      </c>
      <c r="O483" s="71" t="n">
        <v>47787</v>
      </c>
      <c r="P483" t="n">
        <v>25679.99679878049</v>
      </c>
      <c r="V483" t="n">
        <v>1</v>
      </c>
      <c r="W483" t="inlineStr">
        <is>
          <t>BALANCE TASAS</t>
        </is>
      </c>
      <c r="Y483" t="inlineStr">
        <is>
          <t>BALANCE TASAS</t>
        </is>
      </c>
      <c r="Z483" t="inlineStr">
        <is>
          <t>HTM</t>
        </is>
      </c>
      <c r="AA483" t="n">
        <v>1</v>
      </c>
    </row>
    <row r="484">
      <c r="A484" s="71" t="n">
        <v>45923</v>
      </c>
      <c r="B484" t="n">
        <v>1</v>
      </c>
      <c r="D484" t="inlineStr">
        <is>
          <t>PAS</t>
        </is>
      </c>
      <c r="E484" t="inlineStr">
        <is>
          <t>CLF</t>
        </is>
      </c>
      <c r="F484" t="inlineStr">
        <is>
          <t>CLF</t>
        </is>
      </c>
      <c r="H484" t="inlineStr">
        <is>
          <t>MT_CTA. AHORRO</t>
        </is>
      </c>
      <c r="I484" t="inlineStr">
        <is>
          <t>CTA. AHORRO G.DIF_CORE_CORE</t>
        </is>
      </c>
      <c r="K484" t="n">
        <v>63</v>
      </c>
      <c r="M484" s="71" t="n">
        <v>47817</v>
      </c>
      <c r="N484" s="71" t="n">
        <v>47817</v>
      </c>
      <c r="O484" s="71" t="n">
        <v>47817</v>
      </c>
      <c r="P484" t="n">
        <v>25679.99679878049</v>
      </c>
      <c r="V484" t="n">
        <v>1</v>
      </c>
      <c r="W484" t="inlineStr">
        <is>
          <t>BALANCE TASAS</t>
        </is>
      </c>
      <c r="Y484" t="inlineStr">
        <is>
          <t>BALANCE TASAS</t>
        </is>
      </c>
      <c r="Z484" t="inlineStr">
        <is>
          <t>HTM</t>
        </is>
      </c>
      <c r="AA484" t="n">
        <v>1</v>
      </c>
    </row>
    <row r="485">
      <c r="A485" s="71" t="n">
        <v>45923</v>
      </c>
      <c r="B485" t="n">
        <v>1</v>
      </c>
      <c r="D485" t="inlineStr">
        <is>
          <t>PAS</t>
        </is>
      </c>
      <c r="E485" t="inlineStr">
        <is>
          <t>CLF</t>
        </is>
      </c>
      <c r="F485" t="inlineStr">
        <is>
          <t>CLF</t>
        </is>
      </c>
      <c r="H485" t="inlineStr">
        <is>
          <t>MT_CTA. AHORRO</t>
        </is>
      </c>
      <c r="I485" t="inlineStr">
        <is>
          <t>CTA. AHORRO G.DIF_CORE_CORE</t>
        </is>
      </c>
      <c r="K485" t="n">
        <v>64</v>
      </c>
      <c r="M485" s="71" t="n">
        <v>47848</v>
      </c>
      <c r="N485" s="71" t="n">
        <v>47848</v>
      </c>
      <c r="O485" s="71" t="n">
        <v>47848</v>
      </c>
      <c r="P485" t="n">
        <v>25679.99679878049</v>
      </c>
      <c r="V485" t="n">
        <v>1</v>
      </c>
      <c r="W485" t="inlineStr">
        <is>
          <t>BALANCE TASAS</t>
        </is>
      </c>
      <c r="Y485" t="inlineStr">
        <is>
          <t>BALANCE TASAS</t>
        </is>
      </c>
      <c r="Z485" t="inlineStr">
        <is>
          <t>HTM</t>
        </is>
      </c>
      <c r="AA485" t="n">
        <v>1</v>
      </c>
    </row>
    <row r="486">
      <c r="A486" s="71" t="n">
        <v>45923</v>
      </c>
      <c r="B486" t="n">
        <v>1</v>
      </c>
      <c r="D486" t="inlineStr">
        <is>
          <t>PAS</t>
        </is>
      </c>
      <c r="E486" t="inlineStr">
        <is>
          <t>CLF</t>
        </is>
      </c>
      <c r="F486" t="inlineStr">
        <is>
          <t>CLF</t>
        </is>
      </c>
      <c r="H486" t="inlineStr">
        <is>
          <t>MT_CTA. AHORRO</t>
        </is>
      </c>
      <c r="I486" t="inlineStr">
        <is>
          <t>CTA. AHORRO G.DIF_CORE_CORE</t>
        </is>
      </c>
      <c r="K486" t="n">
        <v>65</v>
      </c>
      <c r="M486" s="71" t="n">
        <v>47879</v>
      </c>
      <c r="N486" s="71" t="n">
        <v>47879</v>
      </c>
      <c r="O486" s="71" t="n">
        <v>47879</v>
      </c>
      <c r="P486" t="n">
        <v>25679.99679878049</v>
      </c>
      <c r="V486" t="n">
        <v>1</v>
      </c>
      <c r="W486" t="inlineStr">
        <is>
          <t>BALANCE TASAS</t>
        </is>
      </c>
      <c r="Y486" t="inlineStr">
        <is>
          <t>BALANCE TASAS</t>
        </is>
      </c>
      <c r="Z486" t="inlineStr">
        <is>
          <t>HTM</t>
        </is>
      </c>
      <c r="AA486" t="n">
        <v>1</v>
      </c>
    </row>
    <row r="487">
      <c r="A487" s="71" t="n">
        <v>45923</v>
      </c>
      <c r="B487" t="n">
        <v>1</v>
      </c>
      <c r="D487" t="inlineStr">
        <is>
          <t>PAS</t>
        </is>
      </c>
      <c r="E487" t="inlineStr">
        <is>
          <t>CLF</t>
        </is>
      </c>
      <c r="F487" t="inlineStr">
        <is>
          <t>CLF</t>
        </is>
      </c>
      <c r="H487" t="inlineStr">
        <is>
          <t>MT_CTA. AHORRO</t>
        </is>
      </c>
      <c r="I487" t="inlineStr">
        <is>
          <t>CTA. AHORRO G.DIF_CORE_CORE</t>
        </is>
      </c>
      <c r="K487" t="n">
        <v>66</v>
      </c>
      <c r="M487" s="71" t="n">
        <v>47907</v>
      </c>
      <c r="N487" s="71" t="n">
        <v>47907</v>
      </c>
      <c r="O487" s="71" t="n">
        <v>47907</v>
      </c>
      <c r="P487" t="n">
        <v>25679.99679878049</v>
      </c>
      <c r="V487" t="n">
        <v>1</v>
      </c>
      <c r="W487" t="inlineStr">
        <is>
          <t>BALANCE TASAS</t>
        </is>
      </c>
      <c r="Y487" t="inlineStr">
        <is>
          <t>BALANCE TASAS</t>
        </is>
      </c>
      <c r="Z487" t="inlineStr">
        <is>
          <t>HTM</t>
        </is>
      </c>
      <c r="AA487" t="n">
        <v>1</v>
      </c>
    </row>
    <row r="488">
      <c r="A488" s="71" t="n">
        <v>45923</v>
      </c>
      <c r="B488" t="n">
        <v>1</v>
      </c>
      <c r="D488" t="inlineStr">
        <is>
          <t>PAS</t>
        </is>
      </c>
      <c r="E488" t="inlineStr">
        <is>
          <t>CLF</t>
        </is>
      </c>
      <c r="F488" t="inlineStr">
        <is>
          <t>CLF</t>
        </is>
      </c>
      <c r="H488" t="inlineStr">
        <is>
          <t>MT_CTA. AHORRO</t>
        </is>
      </c>
      <c r="I488" t="inlineStr">
        <is>
          <t>CTA. AHORRO G.DIF_CORE_CORE</t>
        </is>
      </c>
      <c r="K488" t="n">
        <v>67</v>
      </c>
      <c r="M488" s="71" t="n">
        <v>47938</v>
      </c>
      <c r="N488" s="71" t="n">
        <v>47938</v>
      </c>
      <c r="O488" s="71" t="n">
        <v>47938</v>
      </c>
      <c r="P488" t="n">
        <v>25679.99679878049</v>
      </c>
      <c r="V488" t="n">
        <v>1</v>
      </c>
      <c r="W488" t="inlineStr">
        <is>
          <t>BALANCE TASAS</t>
        </is>
      </c>
      <c r="Y488" t="inlineStr">
        <is>
          <t>BALANCE TASAS</t>
        </is>
      </c>
      <c r="Z488" t="inlineStr">
        <is>
          <t>HTM</t>
        </is>
      </c>
      <c r="AA488" t="n">
        <v>1</v>
      </c>
    </row>
    <row r="489">
      <c r="A489" s="71" t="n">
        <v>45923</v>
      </c>
      <c r="B489" t="n">
        <v>1</v>
      </c>
      <c r="D489" t="inlineStr">
        <is>
          <t>PAS</t>
        </is>
      </c>
      <c r="E489" t="inlineStr">
        <is>
          <t>CLF</t>
        </is>
      </c>
      <c r="F489" t="inlineStr">
        <is>
          <t>CLF</t>
        </is>
      </c>
      <c r="H489" t="inlineStr">
        <is>
          <t>MT_CTA. AHORRO</t>
        </is>
      </c>
      <c r="I489" t="inlineStr">
        <is>
          <t>CTA. AHORRO G.DIF_CORE_CORE</t>
        </is>
      </c>
      <c r="K489" t="n">
        <v>68</v>
      </c>
      <c r="M489" s="71" t="n">
        <v>47968</v>
      </c>
      <c r="N489" s="71" t="n">
        <v>47968</v>
      </c>
      <c r="O489" s="71" t="n">
        <v>47968</v>
      </c>
      <c r="P489" t="n">
        <v>25679.99679878049</v>
      </c>
      <c r="V489" t="n">
        <v>1</v>
      </c>
      <c r="W489" t="inlineStr">
        <is>
          <t>BALANCE TASAS</t>
        </is>
      </c>
      <c r="Y489" t="inlineStr">
        <is>
          <t>BALANCE TASAS</t>
        </is>
      </c>
      <c r="Z489" t="inlineStr">
        <is>
          <t>HTM</t>
        </is>
      </c>
      <c r="AA489" t="n">
        <v>1</v>
      </c>
    </row>
    <row r="490">
      <c r="A490" s="71" t="n">
        <v>45923</v>
      </c>
      <c r="B490" t="n">
        <v>1</v>
      </c>
      <c r="D490" t="inlineStr">
        <is>
          <t>PAS</t>
        </is>
      </c>
      <c r="E490" t="inlineStr">
        <is>
          <t>CLF</t>
        </is>
      </c>
      <c r="F490" t="inlineStr">
        <is>
          <t>CLF</t>
        </is>
      </c>
      <c r="H490" t="inlineStr">
        <is>
          <t>MT_CTA. AHORRO</t>
        </is>
      </c>
      <c r="I490" t="inlineStr">
        <is>
          <t>CTA. AHORRO G.DIF_CORE_CORE</t>
        </is>
      </c>
      <c r="K490" t="n">
        <v>69</v>
      </c>
      <c r="M490" s="71" t="n">
        <v>47999</v>
      </c>
      <c r="N490" s="71" t="n">
        <v>47999</v>
      </c>
      <c r="O490" s="71" t="n">
        <v>47999</v>
      </c>
      <c r="P490" t="n">
        <v>25679.99679878049</v>
      </c>
      <c r="V490" t="n">
        <v>1</v>
      </c>
      <c r="W490" t="inlineStr">
        <is>
          <t>BALANCE TASAS</t>
        </is>
      </c>
      <c r="Y490" t="inlineStr">
        <is>
          <t>BALANCE TASAS</t>
        </is>
      </c>
      <c r="Z490" t="inlineStr">
        <is>
          <t>HTM</t>
        </is>
      </c>
      <c r="AA490" t="n">
        <v>1</v>
      </c>
    </row>
    <row r="491">
      <c r="A491" s="71" t="n">
        <v>45923</v>
      </c>
      <c r="B491" t="n">
        <v>1</v>
      </c>
      <c r="D491" t="inlineStr">
        <is>
          <t>PAS</t>
        </is>
      </c>
      <c r="E491" t="inlineStr">
        <is>
          <t>CLF</t>
        </is>
      </c>
      <c r="F491" t="inlineStr">
        <is>
          <t>CLF</t>
        </is>
      </c>
      <c r="H491" t="inlineStr">
        <is>
          <t>MT_CTA. AHORRO</t>
        </is>
      </c>
      <c r="I491" t="inlineStr">
        <is>
          <t>CTA. AHORRO G.DIF_CORE_CORE</t>
        </is>
      </c>
      <c r="K491" t="n">
        <v>70</v>
      </c>
      <c r="M491" s="71" t="n">
        <v>48029</v>
      </c>
      <c r="N491" s="71" t="n">
        <v>48029</v>
      </c>
      <c r="O491" s="71" t="n">
        <v>48029</v>
      </c>
      <c r="P491" t="n">
        <v>25679.99679878049</v>
      </c>
      <c r="V491" t="n">
        <v>1</v>
      </c>
      <c r="W491" t="inlineStr">
        <is>
          <t>BALANCE TASAS</t>
        </is>
      </c>
      <c r="Y491" t="inlineStr">
        <is>
          <t>BALANCE TASAS</t>
        </is>
      </c>
      <c r="Z491" t="inlineStr">
        <is>
          <t>HTM</t>
        </is>
      </c>
      <c r="AA491" t="n">
        <v>1</v>
      </c>
    </row>
    <row r="492">
      <c r="A492" s="71" t="n">
        <v>45923</v>
      </c>
      <c r="B492" t="n">
        <v>1</v>
      </c>
      <c r="D492" t="inlineStr">
        <is>
          <t>PAS</t>
        </is>
      </c>
      <c r="E492" t="inlineStr">
        <is>
          <t>CLF</t>
        </is>
      </c>
      <c r="F492" t="inlineStr">
        <is>
          <t>CLF</t>
        </is>
      </c>
      <c r="H492" t="inlineStr">
        <is>
          <t>MT_CTA. AHORRO</t>
        </is>
      </c>
      <c r="I492" t="inlineStr">
        <is>
          <t>CTA. AHORRO G.DIF_CORE_CORE</t>
        </is>
      </c>
      <c r="K492" t="n">
        <v>71</v>
      </c>
      <c r="M492" s="71" t="n">
        <v>48060</v>
      </c>
      <c r="N492" s="71" t="n">
        <v>48060</v>
      </c>
      <c r="O492" s="71" t="n">
        <v>48060</v>
      </c>
      <c r="P492" t="n">
        <v>25679.99679878049</v>
      </c>
      <c r="V492" t="n">
        <v>1</v>
      </c>
      <c r="W492" t="inlineStr">
        <is>
          <t>BALANCE TASAS</t>
        </is>
      </c>
      <c r="Y492" t="inlineStr">
        <is>
          <t>BALANCE TASAS</t>
        </is>
      </c>
      <c r="Z492" t="inlineStr">
        <is>
          <t>HTM</t>
        </is>
      </c>
      <c r="AA492" t="n">
        <v>1</v>
      </c>
    </row>
    <row r="493">
      <c r="A493" s="71" t="n">
        <v>45923</v>
      </c>
      <c r="B493" t="n">
        <v>1</v>
      </c>
      <c r="D493" t="inlineStr">
        <is>
          <t>PAS</t>
        </is>
      </c>
      <c r="E493" t="inlineStr">
        <is>
          <t>CLF</t>
        </is>
      </c>
      <c r="F493" t="inlineStr">
        <is>
          <t>CLF</t>
        </is>
      </c>
      <c r="H493" t="inlineStr">
        <is>
          <t>MT_CTA. AHORRO</t>
        </is>
      </c>
      <c r="I493" t="inlineStr">
        <is>
          <t>CTA. AHORRO G.DIF_CORE_CORE</t>
        </is>
      </c>
      <c r="K493" t="n">
        <v>72</v>
      </c>
      <c r="M493" s="71" t="n">
        <v>48091</v>
      </c>
      <c r="N493" s="71" t="n">
        <v>48091</v>
      </c>
      <c r="O493" s="71" t="n">
        <v>48091</v>
      </c>
      <c r="P493" t="n">
        <v>25679.99679878049</v>
      </c>
      <c r="V493" t="n">
        <v>1</v>
      </c>
      <c r="W493" t="inlineStr">
        <is>
          <t>BALANCE TASAS</t>
        </is>
      </c>
      <c r="Y493" t="inlineStr">
        <is>
          <t>BALANCE TASAS</t>
        </is>
      </c>
      <c r="Z493" t="inlineStr">
        <is>
          <t>HTM</t>
        </is>
      </c>
      <c r="AA493" t="n">
        <v>1</v>
      </c>
    </row>
    <row r="494">
      <c r="A494" s="71" t="n">
        <v>45923</v>
      </c>
      <c r="B494" t="n">
        <v>1</v>
      </c>
      <c r="D494" t="inlineStr">
        <is>
          <t>PAS</t>
        </is>
      </c>
      <c r="E494" t="inlineStr">
        <is>
          <t>CLF</t>
        </is>
      </c>
      <c r="F494" t="inlineStr">
        <is>
          <t>CLF</t>
        </is>
      </c>
      <c r="H494" t="inlineStr">
        <is>
          <t>MT_CTA. AHORRO</t>
        </is>
      </c>
      <c r="I494" t="inlineStr">
        <is>
          <t>CTA. AHORRO G.DIF_CORE_CORE</t>
        </is>
      </c>
      <c r="K494" t="n">
        <v>73</v>
      </c>
      <c r="M494" s="71" t="n">
        <v>48121</v>
      </c>
      <c r="N494" s="71" t="n">
        <v>48121</v>
      </c>
      <c r="O494" s="71" t="n">
        <v>48121</v>
      </c>
      <c r="P494" t="n">
        <v>25679.99679878049</v>
      </c>
      <c r="V494" t="n">
        <v>1</v>
      </c>
      <c r="W494" t="inlineStr">
        <is>
          <t>BALANCE TASAS</t>
        </is>
      </c>
      <c r="Y494" t="inlineStr">
        <is>
          <t>BALANCE TASAS</t>
        </is>
      </c>
      <c r="Z494" t="inlineStr">
        <is>
          <t>HTM</t>
        </is>
      </c>
      <c r="AA494" t="n">
        <v>1</v>
      </c>
    </row>
    <row r="495">
      <c r="A495" s="71" t="n">
        <v>45923</v>
      </c>
      <c r="B495" t="n">
        <v>1</v>
      </c>
      <c r="D495" t="inlineStr">
        <is>
          <t>PAS</t>
        </is>
      </c>
      <c r="E495" t="inlineStr">
        <is>
          <t>CLF</t>
        </is>
      </c>
      <c r="F495" t="inlineStr">
        <is>
          <t>CLF</t>
        </is>
      </c>
      <c r="H495" t="inlineStr">
        <is>
          <t>MT_CTA. AHORRO</t>
        </is>
      </c>
      <c r="I495" t="inlineStr">
        <is>
          <t>CTA. AHORRO G.DIF_CORE_CORE</t>
        </is>
      </c>
      <c r="K495" t="n">
        <v>74</v>
      </c>
      <c r="M495" s="71" t="n">
        <v>48152</v>
      </c>
      <c r="N495" s="71" t="n">
        <v>48152</v>
      </c>
      <c r="O495" s="71" t="n">
        <v>48152</v>
      </c>
      <c r="P495" t="n">
        <v>25679.99679878049</v>
      </c>
      <c r="V495" t="n">
        <v>1</v>
      </c>
      <c r="W495" t="inlineStr">
        <is>
          <t>BALANCE TASAS</t>
        </is>
      </c>
      <c r="Y495" t="inlineStr">
        <is>
          <t>BALANCE TASAS</t>
        </is>
      </c>
      <c r="Z495" t="inlineStr">
        <is>
          <t>HTM</t>
        </is>
      </c>
      <c r="AA495" t="n">
        <v>1</v>
      </c>
    </row>
    <row r="496">
      <c r="A496" s="71" t="n">
        <v>45923</v>
      </c>
      <c r="B496" t="n">
        <v>1</v>
      </c>
      <c r="D496" t="inlineStr">
        <is>
          <t>PAS</t>
        </is>
      </c>
      <c r="E496" t="inlineStr">
        <is>
          <t>CLF</t>
        </is>
      </c>
      <c r="F496" t="inlineStr">
        <is>
          <t>CLF</t>
        </is>
      </c>
      <c r="H496" t="inlineStr">
        <is>
          <t>MT_CTA. AHORRO</t>
        </is>
      </c>
      <c r="I496" t="inlineStr">
        <is>
          <t>CTA. AHORRO G.DIF_CORE_CORE</t>
        </is>
      </c>
      <c r="K496" t="n">
        <v>75</v>
      </c>
      <c r="M496" s="71" t="n">
        <v>48182</v>
      </c>
      <c r="N496" s="71" t="n">
        <v>48182</v>
      </c>
      <c r="O496" s="71" t="n">
        <v>48182</v>
      </c>
      <c r="P496" t="n">
        <v>25679.99679878049</v>
      </c>
      <c r="V496" t="n">
        <v>1</v>
      </c>
      <c r="W496" t="inlineStr">
        <is>
          <t>BALANCE TASAS</t>
        </is>
      </c>
      <c r="Y496" t="inlineStr">
        <is>
          <t>BALANCE TASAS</t>
        </is>
      </c>
      <c r="Z496" t="inlineStr">
        <is>
          <t>HTM</t>
        </is>
      </c>
      <c r="AA496" t="n">
        <v>1</v>
      </c>
    </row>
    <row r="497">
      <c r="A497" s="71" t="n">
        <v>45923</v>
      </c>
      <c r="B497" t="n">
        <v>1</v>
      </c>
      <c r="D497" t="inlineStr">
        <is>
          <t>PAS</t>
        </is>
      </c>
      <c r="E497" t="inlineStr">
        <is>
          <t>CLF</t>
        </is>
      </c>
      <c r="F497" t="inlineStr">
        <is>
          <t>CLF</t>
        </is>
      </c>
      <c r="H497" t="inlineStr">
        <is>
          <t>MT_CTA. AHORRO</t>
        </is>
      </c>
      <c r="I497" t="inlineStr">
        <is>
          <t>CTA. AHORRO G.DIF_CORE_CORE</t>
        </is>
      </c>
      <c r="K497" t="n">
        <v>76</v>
      </c>
      <c r="M497" s="71" t="n">
        <v>48213</v>
      </c>
      <c r="N497" s="71" t="n">
        <v>48213</v>
      </c>
      <c r="O497" s="71" t="n">
        <v>48213</v>
      </c>
      <c r="P497" t="n">
        <v>25679.99679878049</v>
      </c>
      <c r="V497" t="n">
        <v>1</v>
      </c>
      <c r="W497" t="inlineStr">
        <is>
          <t>BALANCE TASAS</t>
        </is>
      </c>
      <c r="Y497" t="inlineStr">
        <is>
          <t>BALANCE TASAS</t>
        </is>
      </c>
      <c r="Z497" t="inlineStr">
        <is>
          <t>HTM</t>
        </is>
      </c>
      <c r="AA497" t="n">
        <v>1</v>
      </c>
    </row>
    <row r="498">
      <c r="A498" s="71" t="n">
        <v>45923</v>
      </c>
      <c r="B498" t="n">
        <v>1</v>
      </c>
      <c r="D498" t="inlineStr">
        <is>
          <t>PAS</t>
        </is>
      </c>
      <c r="E498" t="inlineStr">
        <is>
          <t>CLF</t>
        </is>
      </c>
      <c r="F498" t="inlineStr">
        <is>
          <t>CLF</t>
        </is>
      </c>
      <c r="H498" t="inlineStr">
        <is>
          <t>MT_CTA. AHORRO</t>
        </is>
      </c>
      <c r="I498" t="inlineStr">
        <is>
          <t>CTA. AHORRO G.DIF_CORE_CORE</t>
        </is>
      </c>
      <c r="K498" t="n">
        <v>77</v>
      </c>
      <c r="M498" s="71" t="n">
        <v>48244</v>
      </c>
      <c r="N498" s="71" t="n">
        <v>48244</v>
      </c>
      <c r="O498" s="71" t="n">
        <v>48244</v>
      </c>
      <c r="P498" t="n">
        <v>25679.99679878049</v>
      </c>
      <c r="V498" t="n">
        <v>1</v>
      </c>
      <c r="W498" t="inlineStr">
        <is>
          <t>BALANCE TASAS</t>
        </is>
      </c>
      <c r="Y498" t="inlineStr">
        <is>
          <t>BALANCE TASAS</t>
        </is>
      </c>
      <c r="Z498" t="inlineStr">
        <is>
          <t>HTM</t>
        </is>
      </c>
      <c r="AA498" t="n">
        <v>1</v>
      </c>
    </row>
    <row r="499">
      <c r="A499" s="71" t="n">
        <v>45923</v>
      </c>
      <c r="B499" t="n">
        <v>1</v>
      </c>
      <c r="D499" t="inlineStr">
        <is>
          <t>PAS</t>
        </is>
      </c>
      <c r="E499" t="inlineStr">
        <is>
          <t>CLF</t>
        </is>
      </c>
      <c r="F499" t="inlineStr">
        <is>
          <t>CLF</t>
        </is>
      </c>
      <c r="H499" t="inlineStr">
        <is>
          <t>MT_CTA. AHORRO</t>
        </is>
      </c>
      <c r="I499" t="inlineStr">
        <is>
          <t>CTA. AHORRO G.DIF_CORE_CORE</t>
        </is>
      </c>
      <c r="K499" t="n">
        <v>78</v>
      </c>
      <c r="M499" s="71" t="n">
        <v>48273</v>
      </c>
      <c r="N499" s="71" t="n">
        <v>48273</v>
      </c>
      <c r="O499" s="71" t="n">
        <v>48273</v>
      </c>
      <c r="P499" t="n">
        <v>25679.99679878049</v>
      </c>
      <c r="V499" t="n">
        <v>1</v>
      </c>
      <c r="W499" t="inlineStr">
        <is>
          <t>BALANCE TASAS</t>
        </is>
      </c>
      <c r="Y499" t="inlineStr">
        <is>
          <t>BALANCE TASAS</t>
        </is>
      </c>
      <c r="Z499" t="inlineStr">
        <is>
          <t>HTM</t>
        </is>
      </c>
      <c r="AA499" t="n">
        <v>1</v>
      </c>
    </row>
    <row r="500">
      <c r="A500" s="71" t="n">
        <v>45923</v>
      </c>
      <c r="B500" t="n">
        <v>1</v>
      </c>
      <c r="D500" t="inlineStr">
        <is>
          <t>PAS</t>
        </is>
      </c>
      <c r="E500" t="inlineStr">
        <is>
          <t>CLF</t>
        </is>
      </c>
      <c r="F500" t="inlineStr">
        <is>
          <t>CLF</t>
        </is>
      </c>
      <c r="H500" t="inlineStr">
        <is>
          <t>MT_CTA. AHORRO</t>
        </is>
      </c>
      <c r="I500" t="inlineStr">
        <is>
          <t>CTA. AHORRO G.DIF_CORE_CORE</t>
        </is>
      </c>
      <c r="K500" t="n">
        <v>79</v>
      </c>
      <c r="M500" s="71" t="n">
        <v>48304</v>
      </c>
      <c r="N500" s="71" t="n">
        <v>48304</v>
      </c>
      <c r="O500" s="71" t="n">
        <v>48304</v>
      </c>
      <c r="P500" t="n">
        <v>25679.99679878049</v>
      </c>
      <c r="V500" t="n">
        <v>1</v>
      </c>
      <c r="W500" t="inlineStr">
        <is>
          <t>BALANCE TASAS</t>
        </is>
      </c>
      <c r="Y500" t="inlineStr">
        <is>
          <t>BALANCE TASAS</t>
        </is>
      </c>
      <c r="Z500" t="inlineStr">
        <is>
          <t>HTM</t>
        </is>
      </c>
      <c r="AA500" t="n">
        <v>1</v>
      </c>
    </row>
    <row r="501">
      <c r="A501" s="71" t="n">
        <v>45923</v>
      </c>
      <c r="B501" t="n">
        <v>1</v>
      </c>
      <c r="D501" t="inlineStr">
        <is>
          <t>PAS</t>
        </is>
      </c>
      <c r="E501" t="inlineStr">
        <is>
          <t>CLF</t>
        </is>
      </c>
      <c r="F501" t="inlineStr">
        <is>
          <t>CLF</t>
        </is>
      </c>
      <c r="H501" t="inlineStr">
        <is>
          <t>MT_CTA. AHORRO</t>
        </is>
      </c>
      <c r="I501" t="inlineStr">
        <is>
          <t>CTA. AHORRO G.DIF_CORE_CORE</t>
        </is>
      </c>
      <c r="K501" t="n">
        <v>80</v>
      </c>
      <c r="M501" s="71" t="n">
        <v>48334</v>
      </c>
      <c r="N501" s="71" t="n">
        <v>48334</v>
      </c>
      <c r="O501" s="71" t="n">
        <v>48334</v>
      </c>
      <c r="P501" t="n">
        <v>25679.99679878049</v>
      </c>
      <c r="V501" t="n">
        <v>1</v>
      </c>
      <c r="W501" t="inlineStr">
        <is>
          <t>BALANCE TASAS</t>
        </is>
      </c>
      <c r="Y501" t="inlineStr">
        <is>
          <t>BALANCE TASAS</t>
        </is>
      </c>
      <c r="Z501" t="inlineStr">
        <is>
          <t>HTM</t>
        </is>
      </c>
      <c r="AA501" t="n">
        <v>1</v>
      </c>
    </row>
    <row r="502">
      <c r="A502" s="71" t="n">
        <v>45923</v>
      </c>
      <c r="B502" t="n">
        <v>1</v>
      </c>
      <c r="D502" t="inlineStr">
        <is>
          <t>PAS</t>
        </is>
      </c>
      <c r="E502" t="inlineStr">
        <is>
          <t>CLF</t>
        </is>
      </c>
      <c r="F502" t="inlineStr">
        <is>
          <t>CLF</t>
        </is>
      </c>
      <c r="H502" t="inlineStr">
        <is>
          <t>MT_CTA. AHORRO</t>
        </is>
      </c>
      <c r="I502" t="inlineStr">
        <is>
          <t>CTA. AHORRO G.DIF_CORE_CORE</t>
        </is>
      </c>
      <c r="K502" t="n">
        <v>81</v>
      </c>
      <c r="M502" s="71" t="n">
        <v>48365</v>
      </c>
      <c r="N502" s="71" t="n">
        <v>48365</v>
      </c>
      <c r="O502" s="71" t="n">
        <v>48365</v>
      </c>
      <c r="P502" t="n">
        <v>25679.99679878049</v>
      </c>
      <c r="V502" t="n">
        <v>1</v>
      </c>
      <c r="W502" t="inlineStr">
        <is>
          <t>BALANCE TASAS</t>
        </is>
      </c>
      <c r="Y502" t="inlineStr">
        <is>
          <t>BALANCE TASAS</t>
        </is>
      </c>
      <c r="Z502" t="inlineStr">
        <is>
          <t>HTM</t>
        </is>
      </c>
      <c r="AA502" t="n">
        <v>1</v>
      </c>
    </row>
    <row r="503">
      <c r="A503" s="71" t="n">
        <v>45923</v>
      </c>
      <c r="B503" t="n">
        <v>1</v>
      </c>
      <c r="D503" t="inlineStr">
        <is>
          <t>PAS</t>
        </is>
      </c>
      <c r="E503" t="inlineStr">
        <is>
          <t>CLF</t>
        </is>
      </c>
      <c r="F503" t="inlineStr">
        <is>
          <t>CLF</t>
        </is>
      </c>
      <c r="H503" t="inlineStr">
        <is>
          <t>MT_CTA. AHORRO</t>
        </is>
      </c>
      <c r="I503" t="inlineStr">
        <is>
          <t>CTA. AHORRO G.DIF_CORE_CORE</t>
        </is>
      </c>
      <c r="K503" t="n">
        <v>82</v>
      </c>
      <c r="M503" s="71" t="n">
        <v>48395</v>
      </c>
      <c r="N503" s="71" t="n">
        <v>48395</v>
      </c>
      <c r="O503" s="71" t="n">
        <v>48395</v>
      </c>
      <c r="P503" t="n">
        <v>25679.99679878049</v>
      </c>
      <c r="V503" t="n">
        <v>1</v>
      </c>
      <c r="W503" t="inlineStr">
        <is>
          <t>BALANCE TASAS</t>
        </is>
      </c>
      <c r="Y503" t="inlineStr">
        <is>
          <t>BALANCE TASAS</t>
        </is>
      </c>
      <c r="Z503" t="inlineStr">
        <is>
          <t>HTM</t>
        </is>
      </c>
      <c r="AA503" t="n">
        <v>1</v>
      </c>
    </row>
    <row r="504">
      <c r="A504" s="71" t="n">
        <v>45923</v>
      </c>
      <c r="B504" t="n">
        <v>1</v>
      </c>
      <c r="D504" t="inlineStr">
        <is>
          <t>PAS</t>
        </is>
      </c>
      <c r="E504" t="inlineStr">
        <is>
          <t>CLF</t>
        </is>
      </c>
      <c r="F504" t="inlineStr">
        <is>
          <t>CLF</t>
        </is>
      </c>
      <c r="H504" t="inlineStr">
        <is>
          <t>MT_CTA. AHORRO</t>
        </is>
      </c>
      <c r="I504" t="inlineStr">
        <is>
          <t>CTA. AHORRO G.DIF_CORE_CORE</t>
        </is>
      </c>
      <c r="K504" t="n">
        <v>83</v>
      </c>
      <c r="M504" s="71" t="n">
        <v>48426</v>
      </c>
      <c r="N504" s="71" t="n">
        <v>48426</v>
      </c>
      <c r="O504" s="71" t="n">
        <v>48426</v>
      </c>
      <c r="P504" t="n">
        <v>25679.99679878049</v>
      </c>
      <c r="V504" t="n">
        <v>1</v>
      </c>
      <c r="W504" t="inlineStr">
        <is>
          <t>BALANCE TASAS</t>
        </is>
      </c>
      <c r="Y504" t="inlineStr">
        <is>
          <t>BALANCE TASAS</t>
        </is>
      </c>
      <c r="Z504" t="inlineStr">
        <is>
          <t>HTM</t>
        </is>
      </c>
      <c r="AA504" t="n">
        <v>1</v>
      </c>
    </row>
    <row r="505">
      <c r="A505" s="71" t="n">
        <v>45923</v>
      </c>
      <c r="B505" t="n">
        <v>1</v>
      </c>
      <c r="D505" t="inlineStr">
        <is>
          <t>PAS</t>
        </is>
      </c>
      <c r="E505" t="inlineStr">
        <is>
          <t>CLF</t>
        </is>
      </c>
      <c r="F505" t="inlineStr">
        <is>
          <t>CLF</t>
        </is>
      </c>
      <c r="H505" t="inlineStr">
        <is>
          <t>MT_CTA. AHORRO</t>
        </is>
      </c>
      <c r="I505" t="inlineStr">
        <is>
          <t>CTA. AHORRO G.DIF_CORE_CORE</t>
        </is>
      </c>
      <c r="K505" t="n">
        <v>84</v>
      </c>
      <c r="M505" s="71" t="n">
        <v>48457</v>
      </c>
      <c r="N505" s="71" t="n">
        <v>48457</v>
      </c>
      <c r="O505" s="71" t="n">
        <v>48457</v>
      </c>
      <c r="P505" t="n">
        <v>25679.99679878049</v>
      </c>
      <c r="V505" t="n">
        <v>1</v>
      </c>
      <c r="W505" t="inlineStr">
        <is>
          <t>BALANCE TASAS</t>
        </is>
      </c>
      <c r="Y505" t="inlineStr">
        <is>
          <t>BALANCE TASAS</t>
        </is>
      </c>
      <c r="Z505" t="inlineStr">
        <is>
          <t>HTM</t>
        </is>
      </c>
      <c r="AA505" t="n">
        <v>1</v>
      </c>
    </row>
    <row r="506">
      <c r="A506" s="71" t="n">
        <v>45923</v>
      </c>
      <c r="B506" t="n">
        <v>1</v>
      </c>
      <c r="D506" t="inlineStr">
        <is>
          <t>PAS</t>
        </is>
      </c>
      <c r="E506" t="inlineStr">
        <is>
          <t>CLF</t>
        </is>
      </c>
      <c r="F506" t="inlineStr">
        <is>
          <t>CLF</t>
        </is>
      </c>
      <c r="H506" t="inlineStr">
        <is>
          <t>MT_CTA. AHORRO</t>
        </is>
      </c>
      <c r="I506" t="inlineStr">
        <is>
          <t>CTA. AHORRO G.DIF_CORE_CORE</t>
        </is>
      </c>
      <c r="K506" t="n">
        <v>85</v>
      </c>
      <c r="M506" s="71" t="n">
        <v>48487</v>
      </c>
      <c r="N506" s="71" t="n">
        <v>48487</v>
      </c>
      <c r="O506" s="71" t="n">
        <v>48487</v>
      </c>
      <c r="P506" t="n">
        <v>25679.99679878049</v>
      </c>
      <c r="V506" t="n">
        <v>1</v>
      </c>
      <c r="W506" t="inlineStr">
        <is>
          <t>BALANCE TASAS</t>
        </is>
      </c>
      <c r="Y506" t="inlineStr">
        <is>
          <t>BALANCE TASAS</t>
        </is>
      </c>
      <c r="Z506" t="inlineStr">
        <is>
          <t>HTM</t>
        </is>
      </c>
      <c r="AA506" t="n">
        <v>1</v>
      </c>
    </row>
    <row r="507">
      <c r="A507" s="71" t="n">
        <v>45923</v>
      </c>
      <c r="B507" t="n">
        <v>1</v>
      </c>
      <c r="D507" t="inlineStr">
        <is>
          <t>PAS</t>
        </is>
      </c>
      <c r="E507" t="inlineStr">
        <is>
          <t>CLF</t>
        </is>
      </c>
      <c r="F507" t="inlineStr">
        <is>
          <t>CLF</t>
        </is>
      </c>
      <c r="H507" t="inlineStr">
        <is>
          <t>MT_CTA. AHORRO</t>
        </is>
      </c>
      <c r="I507" t="inlineStr">
        <is>
          <t>CTA. AHORRO G.DIF_CORE_CORE</t>
        </is>
      </c>
      <c r="K507" t="n">
        <v>86</v>
      </c>
      <c r="M507" s="71" t="n">
        <v>48518</v>
      </c>
      <c r="N507" s="71" t="n">
        <v>48518</v>
      </c>
      <c r="O507" s="71" t="n">
        <v>48518</v>
      </c>
      <c r="P507" t="n">
        <v>25679.99679878049</v>
      </c>
      <c r="V507" t="n">
        <v>1</v>
      </c>
      <c r="W507" t="inlineStr">
        <is>
          <t>BALANCE TASAS</t>
        </is>
      </c>
      <c r="Y507" t="inlineStr">
        <is>
          <t>BALANCE TASAS</t>
        </is>
      </c>
      <c r="Z507" t="inlineStr">
        <is>
          <t>HTM</t>
        </is>
      </c>
      <c r="AA507" t="n">
        <v>1</v>
      </c>
    </row>
    <row r="508">
      <c r="A508" s="71" t="n">
        <v>45923</v>
      </c>
      <c r="B508" t="n">
        <v>1</v>
      </c>
      <c r="D508" t="inlineStr">
        <is>
          <t>PAS</t>
        </is>
      </c>
      <c r="E508" t="inlineStr">
        <is>
          <t>CLF</t>
        </is>
      </c>
      <c r="F508" t="inlineStr">
        <is>
          <t>CLF</t>
        </is>
      </c>
      <c r="H508" t="inlineStr">
        <is>
          <t>MT_CTA. AHORRO</t>
        </is>
      </c>
      <c r="I508" t="inlineStr">
        <is>
          <t>CTA. AHORRO G.DIF_CORE_CORE</t>
        </is>
      </c>
      <c r="K508" t="n">
        <v>87</v>
      </c>
      <c r="M508" s="71" t="n">
        <v>48548</v>
      </c>
      <c r="N508" s="71" t="n">
        <v>48548</v>
      </c>
      <c r="O508" s="71" t="n">
        <v>48548</v>
      </c>
      <c r="P508" t="n">
        <v>25679.99679878049</v>
      </c>
      <c r="V508" t="n">
        <v>1</v>
      </c>
      <c r="W508" t="inlineStr">
        <is>
          <t>BALANCE TASAS</t>
        </is>
      </c>
      <c r="Y508" t="inlineStr">
        <is>
          <t>BALANCE TASAS</t>
        </is>
      </c>
      <c r="Z508" t="inlineStr">
        <is>
          <t>HTM</t>
        </is>
      </c>
      <c r="AA508" t="n">
        <v>1</v>
      </c>
    </row>
    <row r="509">
      <c r="A509" s="71" t="n">
        <v>45923</v>
      </c>
      <c r="B509" t="n">
        <v>1</v>
      </c>
      <c r="D509" t="inlineStr">
        <is>
          <t>PAS</t>
        </is>
      </c>
      <c r="E509" t="inlineStr">
        <is>
          <t>CLF</t>
        </is>
      </c>
      <c r="F509" t="inlineStr">
        <is>
          <t>CLF</t>
        </is>
      </c>
      <c r="H509" t="inlineStr">
        <is>
          <t>MT_CTA. AHORRO</t>
        </is>
      </c>
      <c r="I509" t="inlineStr">
        <is>
          <t>CTA. AHORRO G.DIF_CORE_CORE</t>
        </is>
      </c>
      <c r="K509" t="n">
        <v>88</v>
      </c>
      <c r="M509" s="71" t="n">
        <v>48579</v>
      </c>
      <c r="N509" s="71" t="n">
        <v>48579</v>
      </c>
      <c r="O509" s="71" t="n">
        <v>48579</v>
      </c>
      <c r="P509" t="n">
        <v>25679.99679878049</v>
      </c>
      <c r="V509" t="n">
        <v>1</v>
      </c>
      <c r="W509" t="inlineStr">
        <is>
          <t>BALANCE TASAS</t>
        </is>
      </c>
      <c r="Y509" t="inlineStr">
        <is>
          <t>BALANCE TASAS</t>
        </is>
      </c>
      <c r="Z509" t="inlineStr">
        <is>
          <t>HTM</t>
        </is>
      </c>
      <c r="AA509" t="n">
        <v>1</v>
      </c>
    </row>
    <row r="510">
      <c r="A510" s="71" t="n">
        <v>45923</v>
      </c>
      <c r="B510" t="n">
        <v>1</v>
      </c>
      <c r="D510" t="inlineStr">
        <is>
          <t>PAS</t>
        </is>
      </c>
      <c r="E510" t="inlineStr">
        <is>
          <t>CLF</t>
        </is>
      </c>
      <c r="F510" t="inlineStr">
        <is>
          <t>CLF</t>
        </is>
      </c>
      <c r="H510" t="inlineStr">
        <is>
          <t>MT_CTA. AHORRO</t>
        </is>
      </c>
      <c r="I510" t="inlineStr">
        <is>
          <t>CTA. AHORRO G.DIF_CORE_CORE</t>
        </is>
      </c>
      <c r="K510" t="n">
        <v>89</v>
      </c>
      <c r="M510" s="71" t="n">
        <v>48610</v>
      </c>
      <c r="N510" s="71" t="n">
        <v>48610</v>
      </c>
      <c r="O510" s="71" t="n">
        <v>48610</v>
      </c>
      <c r="P510" t="n">
        <v>25679.99679878049</v>
      </c>
      <c r="V510" t="n">
        <v>1</v>
      </c>
      <c r="W510" t="inlineStr">
        <is>
          <t>BALANCE TASAS</t>
        </is>
      </c>
      <c r="Y510" t="inlineStr">
        <is>
          <t>BALANCE TASAS</t>
        </is>
      </c>
      <c r="Z510" t="inlineStr">
        <is>
          <t>HTM</t>
        </is>
      </c>
      <c r="AA510" t="n">
        <v>1</v>
      </c>
    </row>
    <row r="511">
      <c r="A511" s="71" t="n">
        <v>45923</v>
      </c>
      <c r="B511" t="n">
        <v>1</v>
      </c>
      <c r="D511" t="inlineStr">
        <is>
          <t>PAS</t>
        </is>
      </c>
      <c r="E511" t="inlineStr">
        <is>
          <t>CLF</t>
        </is>
      </c>
      <c r="F511" t="inlineStr">
        <is>
          <t>CLF</t>
        </is>
      </c>
      <c r="H511" t="inlineStr">
        <is>
          <t>MT_CTA. AHORRO</t>
        </is>
      </c>
      <c r="I511" t="inlineStr">
        <is>
          <t>CTA. AHORRO G.DIF_CORE_CORE</t>
        </is>
      </c>
      <c r="K511" t="n">
        <v>90</v>
      </c>
      <c r="M511" s="71" t="n">
        <v>48638</v>
      </c>
      <c r="N511" s="71" t="n">
        <v>48638</v>
      </c>
      <c r="O511" s="71" t="n">
        <v>48638</v>
      </c>
      <c r="P511" t="n">
        <v>25679.99679878049</v>
      </c>
      <c r="V511" t="n">
        <v>1</v>
      </c>
      <c r="W511" t="inlineStr">
        <is>
          <t>BALANCE TASAS</t>
        </is>
      </c>
      <c r="Y511" t="inlineStr">
        <is>
          <t>BALANCE TASAS</t>
        </is>
      </c>
      <c r="Z511" t="inlineStr">
        <is>
          <t>HTM</t>
        </is>
      </c>
      <c r="AA511" t="n">
        <v>1</v>
      </c>
    </row>
    <row r="512">
      <c r="A512" s="71" t="n">
        <v>45923</v>
      </c>
      <c r="B512" t="n">
        <v>1</v>
      </c>
      <c r="D512" t="inlineStr">
        <is>
          <t>PAS</t>
        </is>
      </c>
      <c r="E512" t="inlineStr">
        <is>
          <t>CLF</t>
        </is>
      </c>
      <c r="F512" t="inlineStr">
        <is>
          <t>CLF</t>
        </is>
      </c>
      <c r="H512" t="inlineStr">
        <is>
          <t>MT_CTA. AHORRO</t>
        </is>
      </c>
      <c r="I512" t="inlineStr">
        <is>
          <t>CTA. AHORRO G.DIF_CORE_CORE</t>
        </is>
      </c>
      <c r="K512" t="n">
        <v>91</v>
      </c>
      <c r="M512" s="71" t="n">
        <v>48669</v>
      </c>
      <c r="N512" s="71" t="n">
        <v>48669</v>
      </c>
      <c r="O512" s="71" t="n">
        <v>48669</v>
      </c>
      <c r="P512" t="n">
        <v>25679.99679878049</v>
      </c>
      <c r="V512" t="n">
        <v>1</v>
      </c>
      <c r="W512" t="inlineStr">
        <is>
          <t>BALANCE TASAS</t>
        </is>
      </c>
      <c r="Y512" t="inlineStr">
        <is>
          <t>BALANCE TASAS</t>
        </is>
      </c>
      <c r="Z512" t="inlineStr">
        <is>
          <t>HTM</t>
        </is>
      </c>
      <c r="AA512" t="n">
        <v>1</v>
      </c>
    </row>
    <row r="513">
      <c r="A513" s="71" t="n">
        <v>45923</v>
      </c>
      <c r="B513" t="n">
        <v>1</v>
      </c>
      <c r="D513" t="inlineStr">
        <is>
          <t>PAS</t>
        </is>
      </c>
      <c r="E513" t="inlineStr">
        <is>
          <t>CLF</t>
        </is>
      </c>
      <c r="F513" t="inlineStr">
        <is>
          <t>CLF</t>
        </is>
      </c>
      <c r="H513" t="inlineStr">
        <is>
          <t>MT_CTA. AHORRO</t>
        </is>
      </c>
      <c r="I513" t="inlineStr">
        <is>
          <t>CTA. AHORRO G.DIF_CORE_CORE</t>
        </is>
      </c>
      <c r="K513" t="n">
        <v>92</v>
      </c>
      <c r="M513" s="71" t="n">
        <v>48699</v>
      </c>
      <c r="N513" s="71" t="n">
        <v>48699</v>
      </c>
      <c r="O513" s="71" t="n">
        <v>48699</v>
      </c>
      <c r="P513" t="n">
        <v>25679.99679878049</v>
      </c>
      <c r="V513" t="n">
        <v>1</v>
      </c>
      <c r="W513" t="inlineStr">
        <is>
          <t>BALANCE TASAS</t>
        </is>
      </c>
      <c r="Y513" t="inlineStr">
        <is>
          <t>BALANCE TASAS</t>
        </is>
      </c>
      <c r="Z513" t="inlineStr">
        <is>
          <t>HTM</t>
        </is>
      </c>
      <c r="AA513" t="n">
        <v>1</v>
      </c>
    </row>
    <row r="514">
      <c r="A514" s="71" t="n">
        <v>45923</v>
      </c>
      <c r="B514" t="n">
        <v>1</v>
      </c>
      <c r="D514" t="inlineStr">
        <is>
          <t>PAS</t>
        </is>
      </c>
      <c r="E514" t="inlineStr">
        <is>
          <t>CLF</t>
        </is>
      </c>
      <c r="F514" t="inlineStr">
        <is>
          <t>CLF</t>
        </is>
      </c>
      <c r="H514" t="inlineStr">
        <is>
          <t>MT_CTA. AHORRO</t>
        </is>
      </c>
      <c r="I514" t="inlineStr">
        <is>
          <t>CTA. AHORRO G.DIF_CORE_CORE</t>
        </is>
      </c>
      <c r="K514" t="n">
        <v>93</v>
      </c>
      <c r="M514" s="71" t="n">
        <v>48730</v>
      </c>
      <c r="N514" s="71" t="n">
        <v>48730</v>
      </c>
      <c r="O514" s="71" t="n">
        <v>48730</v>
      </c>
      <c r="P514" t="n">
        <v>25679.99679878049</v>
      </c>
      <c r="V514" t="n">
        <v>1</v>
      </c>
      <c r="W514" t="inlineStr">
        <is>
          <t>BALANCE TASAS</t>
        </is>
      </c>
      <c r="Y514" t="inlineStr">
        <is>
          <t>BALANCE TASAS</t>
        </is>
      </c>
      <c r="Z514" t="inlineStr">
        <is>
          <t>HTM</t>
        </is>
      </c>
      <c r="AA514" t="n">
        <v>1</v>
      </c>
    </row>
    <row r="515">
      <c r="A515" s="71" t="n">
        <v>45923</v>
      </c>
      <c r="B515" t="n">
        <v>1</v>
      </c>
      <c r="D515" t="inlineStr">
        <is>
          <t>PAS</t>
        </is>
      </c>
      <c r="E515" t="inlineStr">
        <is>
          <t>CLF</t>
        </is>
      </c>
      <c r="F515" t="inlineStr">
        <is>
          <t>CLF</t>
        </is>
      </c>
      <c r="H515" t="inlineStr">
        <is>
          <t>MT_CTA. AHORRO</t>
        </is>
      </c>
      <c r="I515" t="inlineStr">
        <is>
          <t>CTA. AHORRO G.DIF_CORE_CORE</t>
        </is>
      </c>
      <c r="K515" t="n">
        <v>94</v>
      </c>
      <c r="M515" s="71" t="n">
        <v>48760</v>
      </c>
      <c r="N515" s="71" t="n">
        <v>48760</v>
      </c>
      <c r="O515" s="71" t="n">
        <v>48760</v>
      </c>
      <c r="P515" t="n">
        <v>25679.99679878049</v>
      </c>
      <c r="V515" t="n">
        <v>1</v>
      </c>
      <c r="W515" t="inlineStr">
        <is>
          <t>BALANCE TASAS</t>
        </is>
      </c>
      <c r="Y515" t="inlineStr">
        <is>
          <t>BALANCE TASAS</t>
        </is>
      </c>
      <c r="Z515" t="inlineStr">
        <is>
          <t>HTM</t>
        </is>
      </c>
      <c r="AA515" t="n">
        <v>1</v>
      </c>
    </row>
    <row r="516">
      <c r="A516" s="71" t="n">
        <v>45923</v>
      </c>
      <c r="B516" t="n">
        <v>1</v>
      </c>
      <c r="D516" t="inlineStr">
        <is>
          <t>PAS</t>
        </is>
      </c>
      <c r="E516" t="inlineStr">
        <is>
          <t>CLF</t>
        </is>
      </c>
      <c r="F516" t="inlineStr">
        <is>
          <t>CLF</t>
        </is>
      </c>
      <c r="H516" t="inlineStr">
        <is>
          <t>MT_CTA. AHORRO</t>
        </is>
      </c>
      <c r="I516" t="inlineStr">
        <is>
          <t>CTA. AHORRO G.DIF_CORE_CORE</t>
        </is>
      </c>
      <c r="K516" t="n">
        <v>95</v>
      </c>
      <c r="M516" s="71" t="n">
        <v>48791</v>
      </c>
      <c r="N516" s="71" t="n">
        <v>48791</v>
      </c>
      <c r="O516" s="71" t="n">
        <v>48791</v>
      </c>
      <c r="P516" t="n">
        <v>25679.99679878049</v>
      </c>
      <c r="V516" t="n">
        <v>1</v>
      </c>
      <c r="W516" t="inlineStr">
        <is>
          <t>BALANCE TASAS</t>
        </is>
      </c>
      <c r="Y516" t="inlineStr">
        <is>
          <t>BALANCE TASAS</t>
        </is>
      </c>
      <c r="Z516" t="inlineStr">
        <is>
          <t>HTM</t>
        </is>
      </c>
      <c r="AA516" t="n">
        <v>1</v>
      </c>
    </row>
    <row r="517">
      <c r="A517" s="71" t="n">
        <v>45923</v>
      </c>
      <c r="B517" t="n">
        <v>1</v>
      </c>
      <c r="D517" t="inlineStr">
        <is>
          <t>PAS</t>
        </is>
      </c>
      <c r="E517" t="inlineStr">
        <is>
          <t>CLF</t>
        </is>
      </c>
      <c r="F517" t="inlineStr">
        <is>
          <t>CLF</t>
        </is>
      </c>
      <c r="H517" t="inlineStr">
        <is>
          <t>MT_CTA. AHORRO</t>
        </is>
      </c>
      <c r="I517" t="inlineStr">
        <is>
          <t>CTA. AHORRO G.DIF_CORE_CORE</t>
        </is>
      </c>
      <c r="K517" t="n">
        <v>96</v>
      </c>
      <c r="M517" s="71" t="n">
        <v>48822</v>
      </c>
      <c r="N517" s="71" t="n">
        <v>48822</v>
      </c>
      <c r="O517" s="71" t="n">
        <v>48822</v>
      </c>
      <c r="P517" t="n">
        <v>25679.99679878049</v>
      </c>
      <c r="V517" t="n">
        <v>1</v>
      </c>
      <c r="W517" t="inlineStr">
        <is>
          <t>BALANCE TASAS</t>
        </is>
      </c>
      <c r="Y517" t="inlineStr">
        <is>
          <t>BALANCE TASAS</t>
        </is>
      </c>
      <c r="Z517" t="inlineStr">
        <is>
          <t>HTM</t>
        </is>
      </c>
      <c r="AA517" t="n">
        <v>1</v>
      </c>
    </row>
    <row r="518">
      <c r="A518" s="71" t="n">
        <v>45923</v>
      </c>
      <c r="B518" t="n">
        <v>1</v>
      </c>
      <c r="D518" t="inlineStr">
        <is>
          <t>PAS</t>
        </is>
      </c>
      <c r="E518" t="inlineStr">
        <is>
          <t>CLF</t>
        </is>
      </c>
      <c r="F518" t="inlineStr">
        <is>
          <t>CLF</t>
        </is>
      </c>
      <c r="H518" t="inlineStr">
        <is>
          <t>MT_CTA. AHORRO</t>
        </is>
      </c>
      <c r="I518" t="inlineStr">
        <is>
          <t>CTA. AHORRO G.DIF_CORE_CORE</t>
        </is>
      </c>
      <c r="K518" t="n">
        <v>97</v>
      </c>
      <c r="M518" s="71" t="n">
        <v>48852</v>
      </c>
      <c r="N518" s="71" t="n">
        <v>48852</v>
      </c>
      <c r="O518" s="71" t="n">
        <v>48852</v>
      </c>
      <c r="P518" t="n">
        <v>25679.99679878049</v>
      </c>
      <c r="V518" t="n">
        <v>1</v>
      </c>
      <c r="W518" t="inlineStr">
        <is>
          <t>BALANCE TASAS</t>
        </is>
      </c>
      <c r="Y518" t="inlineStr">
        <is>
          <t>BALANCE TASAS</t>
        </is>
      </c>
      <c r="Z518" t="inlineStr">
        <is>
          <t>HTM</t>
        </is>
      </c>
      <c r="AA518" t="n">
        <v>1</v>
      </c>
    </row>
    <row r="519">
      <c r="A519" s="71" t="n">
        <v>45923</v>
      </c>
      <c r="B519" t="n">
        <v>1</v>
      </c>
      <c r="D519" t="inlineStr">
        <is>
          <t>PAS</t>
        </is>
      </c>
      <c r="E519" t="inlineStr">
        <is>
          <t>CLF</t>
        </is>
      </c>
      <c r="F519" t="inlineStr">
        <is>
          <t>CLF</t>
        </is>
      </c>
      <c r="H519" t="inlineStr">
        <is>
          <t>MT_CTA. AHORRO</t>
        </is>
      </c>
      <c r="I519" t="inlineStr">
        <is>
          <t>CTA. AHORRO G.DIF_CORE_CORE</t>
        </is>
      </c>
      <c r="K519" t="n">
        <v>98</v>
      </c>
      <c r="M519" s="71" t="n">
        <v>48883</v>
      </c>
      <c r="N519" s="71" t="n">
        <v>48883</v>
      </c>
      <c r="O519" s="71" t="n">
        <v>48883</v>
      </c>
      <c r="P519" t="n">
        <v>25679.99679878049</v>
      </c>
      <c r="V519" t="n">
        <v>1</v>
      </c>
      <c r="W519" t="inlineStr">
        <is>
          <t>BALANCE TASAS</t>
        </is>
      </c>
      <c r="Y519" t="inlineStr">
        <is>
          <t>BALANCE TASAS</t>
        </is>
      </c>
      <c r="Z519" t="inlineStr">
        <is>
          <t>HTM</t>
        </is>
      </c>
      <c r="AA519" t="n">
        <v>1</v>
      </c>
    </row>
    <row r="520">
      <c r="A520" s="71" t="n">
        <v>45923</v>
      </c>
      <c r="B520" t="n">
        <v>1</v>
      </c>
      <c r="D520" t="inlineStr">
        <is>
          <t>PAS</t>
        </is>
      </c>
      <c r="E520" t="inlineStr">
        <is>
          <t>CLF</t>
        </is>
      </c>
      <c r="F520" t="inlineStr">
        <is>
          <t>CLF</t>
        </is>
      </c>
      <c r="H520" t="inlineStr">
        <is>
          <t>MT_CTA. AHORRO</t>
        </is>
      </c>
      <c r="I520" t="inlineStr">
        <is>
          <t>CTA. AHORRO G.DIF_CORE_CORE</t>
        </is>
      </c>
      <c r="K520" t="n">
        <v>99</v>
      </c>
      <c r="M520" s="71" t="n">
        <v>48913</v>
      </c>
      <c r="N520" s="71" t="n">
        <v>48913</v>
      </c>
      <c r="O520" s="71" t="n">
        <v>48913</v>
      </c>
      <c r="P520" t="n">
        <v>25679.99679878049</v>
      </c>
      <c r="V520" t="n">
        <v>1</v>
      </c>
      <c r="W520" t="inlineStr">
        <is>
          <t>BALANCE TASAS</t>
        </is>
      </c>
      <c r="Y520" t="inlineStr">
        <is>
          <t>BALANCE TASAS</t>
        </is>
      </c>
      <c r="Z520" t="inlineStr">
        <is>
          <t>HTM</t>
        </is>
      </c>
      <c r="AA520" t="n">
        <v>1</v>
      </c>
    </row>
    <row r="521">
      <c r="A521" s="71" t="n">
        <v>45923</v>
      </c>
      <c r="B521" t="n">
        <v>1</v>
      </c>
      <c r="D521" t="inlineStr">
        <is>
          <t>PAS</t>
        </is>
      </c>
      <c r="E521" t="inlineStr">
        <is>
          <t>CLF</t>
        </is>
      </c>
      <c r="F521" t="inlineStr">
        <is>
          <t>CLF</t>
        </is>
      </c>
      <c r="H521" t="inlineStr">
        <is>
          <t>MT_CTA. AHORRO</t>
        </is>
      </c>
      <c r="I521" t="inlineStr">
        <is>
          <t>CTA. AHORRO G.DIF_CORE_CORE</t>
        </is>
      </c>
      <c r="K521" t="n">
        <v>100</v>
      </c>
      <c r="M521" s="71" t="n">
        <v>48944</v>
      </c>
      <c r="N521" s="71" t="n">
        <v>48944</v>
      </c>
      <c r="O521" s="71" t="n">
        <v>48944</v>
      </c>
      <c r="P521" t="n">
        <v>25679.99679878049</v>
      </c>
      <c r="V521" t="n">
        <v>1</v>
      </c>
      <c r="W521" t="inlineStr">
        <is>
          <t>BALANCE TASAS</t>
        </is>
      </c>
      <c r="Y521" t="inlineStr">
        <is>
          <t>BALANCE TASAS</t>
        </is>
      </c>
      <c r="Z521" t="inlineStr">
        <is>
          <t>HTM</t>
        </is>
      </c>
      <c r="AA521" t="n">
        <v>1</v>
      </c>
    </row>
    <row r="522">
      <c r="A522" s="71" t="n">
        <v>45923</v>
      </c>
      <c r="B522" t="n">
        <v>1</v>
      </c>
      <c r="D522" t="inlineStr">
        <is>
          <t>PAS</t>
        </is>
      </c>
      <c r="E522" t="inlineStr">
        <is>
          <t>CLF</t>
        </is>
      </c>
      <c r="F522" t="inlineStr">
        <is>
          <t>CLF</t>
        </is>
      </c>
      <c r="H522" t="inlineStr">
        <is>
          <t>MT_CTA. AHORRO</t>
        </is>
      </c>
      <c r="I522" t="inlineStr">
        <is>
          <t>CTA. AHORRO G.DIF_CORE_CORE</t>
        </is>
      </c>
      <c r="K522" t="n">
        <v>101</v>
      </c>
      <c r="M522" s="71" t="n">
        <v>48975</v>
      </c>
      <c r="N522" s="71" t="n">
        <v>48975</v>
      </c>
      <c r="O522" s="71" t="n">
        <v>48975</v>
      </c>
      <c r="P522" t="n">
        <v>25679.99679878049</v>
      </c>
      <c r="V522" t="n">
        <v>1</v>
      </c>
      <c r="W522" t="inlineStr">
        <is>
          <t>BALANCE TASAS</t>
        </is>
      </c>
      <c r="Y522" t="inlineStr">
        <is>
          <t>BALANCE TASAS</t>
        </is>
      </c>
      <c r="Z522" t="inlineStr">
        <is>
          <t>HTM</t>
        </is>
      </c>
      <c r="AA522" t="n">
        <v>1</v>
      </c>
    </row>
    <row r="523">
      <c r="A523" s="71" t="n">
        <v>45923</v>
      </c>
      <c r="B523" t="n">
        <v>1</v>
      </c>
      <c r="D523" t="inlineStr">
        <is>
          <t>PAS</t>
        </is>
      </c>
      <c r="E523" t="inlineStr">
        <is>
          <t>CLF</t>
        </is>
      </c>
      <c r="F523" t="inlineStr">
        <is>
          <t>CLF</t>
        </is>
      </c>
      <c r="H523" t="inlineStr">
        <is>
          <t>MT_CTA. AHORRO</t>
        </is>
      </c>
      <c r="I523" t="inlineStr">
        <is>
          <t>CTA. AHORRO G.DIF_CORE_CORE</t>
        </is>
      </c>
      <c r="K523" t="n">
        <v>102</v>
      </c>
      <c r="M523" s="71" t="n">
        <v>49003</v>
      </c>
      <c r="N523" s="71" t="n">
        <v>49003</v>
      </c>
      <c r="O523" s="71" t="n">
        <v>49003</v>
      </c>
      <c r="P523" t="n">
        <v>25679.99679878049</v>
      </c>
      <c r="V523" t="n">
        <v>1</v>
      </c>
      <c r="W523" t="inlineStr">
        <is>
          <t>BALANCE TASAS</t>
        </is>
      </c>
      <c r="Y523" t="inlineStr">
        <is>
          <t>BALANCE TASAS</t>
        </is>
      </c>
      <c r="Z523" t="inlineStr">
        <is>
          <t>HTM</t>
        </is>
      </c>
      <c r="AA523" t="n">
        <v>1</v>
      </c>
    </row>
    <row r="524">
      <c r="A524" s="71" t="n">
        <v>45923</v>
      </c>
      <c r="B524" t="n">
        <v>1</v>
      </c>
      <c r="D524" t="inlineStr">
        <is>
          <t>PAS</t>
        </is>
      </c>
      <c r="E524" t="inlineStr">
        <is>
          <t>CLF</t>
        </is>
      </c>
      <c r="F524" t="inlineStr">
        <is>
          <t>CLF</t>
        </is>
      </c>
      <c r="H524" t="inlineStr">
        <is>
          <t>MT_CTA. AHORRO</t>
        </is>
      </c>
      <c r="I524" t="inlineStr">
        <is>
          <t>CTA. AHORRO G.DIF_CORE_CORE</t>
        </is>
      </c>
      <c r="K524" t="n">
        <v>103</v>
      </c>
      <c r="M524" s="71" t="n">
        <v>49034</v>
      </c>
      <c r="N524" s="71" t="n">
        <v>49034</v>
      </c>
      <c r="O524" s="71" t="n">
        <v>49034</v>
      </c>
      <c r="P524" t="n">
        <v>25679.99679878049</v>
      </c>
      <c r="V524" t="n">
        <v>1</v>
      </c>
      <c r="W524" t="inlineStr">
        <is>
          <t>BALANCE TASAS</t>
        </is>
      </c>
      <c r="Y524" t="inlineStr">
        <is>
          <t>BALANCE TASAS</t>
        </is>
      </c>
      <c r="Z524" t="inlineStr">
        <is>
          <t>HTM</t>
        </is>
      </c>
      <c r="AA524" t="n">
        <v>1</v>
      </c>
    </row>
    <row r="525">
      <c r="A525" s="71" t="n">
        <v>45923</v>
      </c>
      <c r="B525" t="n">
        <v>1</v>
      </c>
      <c r="D525" t="inlineStr">
        <is>
          <t>PAS</t>
        </is>
      </c>
      <c r="E525" t="inlineStr">
        <is>
          <t>CLF</t>
        </is>
      </c>
      <c r="F525" t="inlineStr">
        <is>
          <t>CLF</t>
        </is>
      </c>
      <c r="H525" t="inlineStr">
        <is>
          <t>MT_CTA. AHORRO</t>
        </is>
      </c>
      <c r="I525" t="inlineStr">
        <is>
          <t>CTA. AHORRO G.DIF_CORE_CORE</t>
        </is>
      </c>
      <c r="K525" t="n">
        <v>104</v>
      </c>
      <c r="M525" s="71" t="n">
        <v>49064</v>
      </c>
      <c r="N525" s="71" t="n">
        <v>49064</v>
      </c>
      <c r="O525" s="71" t="n">
        <v>49064</v>
      </c>
      <c r="P525" t="n">
        <v>25679.99679878049</v>
      </c>
      <c r="V525" t="n">
        <v>1</v>
      </c>
      <c r="W525" t="inlineStr">
        <is>
          <t>BALANCE TASAS</t>
        </is>
      </c>
      <c r="Y525" t="inlineStr">
        <is>
          <t>BALANCE TASAS</t>
        </is>
      </c>
      <c r="Z525" t="inlineStr">
        <is>
          <t>HTM</t>
        </is>
      </c>
      <c r="AA525" t="n">
        <v>1</v>
      </c>
    </row>
    <row r="526">
      <c r="A526" s="71" t="n">
        <v>45923</v>
      </c>
      <c r="B526" t="n">
        <v>1</v>
      </c>
      <c r="D526" t="inlineStr">
        <is>
          <t>PAS</t>
        </is>
      </c>
      <c r="E526" t="inlineStr">
        <is>
          <t>CLF</t>
        </is>
      </c>
      <c r="F526" t="inlineStr">
        <is>
          <t>CLF</t>
        </is>
      </c>
      <c r="H526" t="inlineStr">
        <is>
          <t>MT_CTA. AHORRO</t>
        </is>
      </c>
      <c r="I526" t="inlineStr">
        <is>
          <t>CTA. AHORRO G.DIF_CORE_CORE</t>
        </is>
      </c>
      <c r="K526" t="n">
        <v>105</v>
      </c>
      <c r="M526" s="71" t="n">
        <v>49095</v>
      </c>
      <c r="N526" s="71" t="n">
        <v>49095</v>
      </c>
      <c r="O526" s="71" t="n">
        <v>49095</v>
      </c>
      <c r="P526" t="n">
        <v>25679.99679878049</v>
      </c>
      <c r="V526" t="n">
        <v>1</v>
      </c>
      <c r="W526" t="inlineStr">
        <is>
          <t>BALANCE TASAS</t>
        </is>
      </c>
      <c r="Y526" t="inlineStr">
        <is>
          <t>BALANCE TASAS</t>
        </is>
      </c>
      <c r="Z526" t="inlineStr">
        <is>
          <t>HTM</t>
        </is>
      </c>
      <c r="AA526" t="n">
        <v>1</v>
      </c>
    </row>
    <row r="527">
      <c r="A527" s="71" t="n">
        <v>45923</v>
      </c>
      <c r="B527" t="n">
        <v>1</v>
      </c>
      <c r="D527" t="inlineStr">
        <is>
          <t>PAS</t>
        </is>
      </c>
      <c r="E527" t="inlineStr">
        <is>
          <t>CLF</t>
        </is>
      </c>
      <c r="F527" t="inlineStr">
        <is>
          <t>CLF</t>
        </is>
      </c>
      <c r="H527" t="inlineStr">
        <is>
          <t>MT_CTA. AHORRO</t>
        </is>
      </c>
      <c r="I527" t="inlineStr">
        <is>
          <t>CTA. AHORRO G.DIF_CORE_CORE</t>
        </is>
      </c>
      <c r="K527" t="n">
        <v>106</v>
      </c>
      <c r="M527" s="71" t="n">
        <v>49125</v>
      </c>
      <c r="N527" s="71" t="n">
        <v>49125</v>
      </c>
      <c r="O527" s="71" t="n">
        <v>49125</v>
      </c>
      <c r="P527" t="n">
        <v>25679.99679878049</v>
      </c>
      <c r="V527" t="n">
        <v>1</v>
      </c>
      <c r="W527" t="inlineStr">
        <is>
          <t>BALANCE TASAS</t>
        </is>
      </c>
      <c r="Y527" t="inlineStr">
        <is>
          <t>BALANCE TASAS</t>
        </is>
      </c>
      <c r="Z527" t="inlineStr">
        <is>
          <t>HTM</t>
        </is>
      </c>
      <c r="AA527" t="n">
        <v>1</v>
      </c>
    </row>
    <row r="528">
      <c r="A528" s="71" t="n">
        <v>45923</v>
      </c>
      <c r="B528" t="n">
        <v>1</v>
      </c>
      <c r="D528" t="inlineStr">
        <is>
          <t>PAS</t>
        </is>
      </c>
      <c r="E528" t="inlineStr">
        <is>
          <t>CLF</t>
        </is>
      </c>
      <c r="F528" t="inlineStr">
        <is>
          <t>CLF</t>
        </is>
      </c>
      <c r="H528" t="inlineStr">
        <is>
          <t>MT_CTA. AHORRO</t>
        </is>
      </c>
      <c r="I528" t="inlineStr">
        <is>
          <t>CTA. AHORRO G.DIF_CORE_CORE</t>
        </is>
      </c>
      <c r="K528" t="n">
        <v>107</v>
      </c>
      <c r="M528" s="71" t="n">
        <v>49156</v>
      </c>
      <c r="N528" s="71" t="n">
        <v>49156</v>
      </c>
      <c r="O528" s="71" t="n">
        <v>49156</v>
      </c>
      <c r="P528" t="n">
        <v>25679.99679878049</v>
      </c>
      <c r="V528" t="n">
        <v>1</v>
      </c>
      <c r="W528" t="inlineStr">
        <is>
          <t>BALANCE TASAS</t>
        </is>
      </c>
      <c r="Y528" t="inlineStr">
        <is>
          <t>BALANCE TASAS</t>
        </is>
      </c>
      <c r="Z528" t="inlineStr">
        <is>
          <t>HTM</t>
        </is>
      </c>
      <c r="AA528" t="n">
        <v>1</v>
      </c>
    </row>
    <row r="529">
      <c r="A529" s="71" t="n">
        <v>45923</v>
      </c>
      <c r="B529" t="n">
        <v>1</v>
      </c>
      <c r="D529" t="inlineStr">
        <is>
          <t>PAS</t>
        </is>
      </c>
      <c r="E529" t="inlineStr">
        <is>
          <t>CLF</t>
        </is>
      </c>
      <c r="F529" t="inlineStr">
        <is>
          <t>CLF</t>
        </is>
      </c>
      <c r="H529" t="inlineStr">
        <is>
          <t>MT_CTA. AHORRO</t>
        </is>
      </c>
      <c r="I529" t="inlineStr">
        <is>
          <t>CTA. AHORRO G.DIF_CORE_CORE</t>
        </is>
      </c>
      <c r="K529" t="n">
        <v>108</v>
      </c>
      <c r="M529" s="71" t="n">
        <v>49187</v>
      </c>
      <c r="N529" s="71" t="n">
        <v>49187</v>
      </c>
      <c r="O529" s="71" t="n">
        <v>49187</v>
      </c>
      <c r="P529" t="n">
        <v>25679.99679878049</v>
      </c>
      <c r="V529" t="n">
        <v>1</v>
      </c>
      <c r="W529" t="inlineStr">
        <is>
          <t>BALANCE TASAS</t>
        </is>
      </c>
      <c r="Y529" t="inlineStr">
        <is>
          <t>BALANCE TASAS</t>
        </is>
      </c>
      <c r="Z529" t="inlineStr">
        <is>
          <t>HTM</t>
        </is>
      </c>
      <c r="AA529" t="n">
        <v>1</v>
      </c>
    </row>
    <row r="530">
      <c r="A530" s="71" t="n">
        <v>45923</v>
      </c>
      <c r="B530" t="n">
        <v>1</v>
      </c>
      <c r="D530" t="inlineStr">
        <is>
          <t>PAS</t>
        </is>
      </c>
      <c r="E530" t="inlineStr">
        <is>
          <t>CLF</t>
        </is>
      </c>
      <c r="F530" t="inlineStr">
        <is>
          <t>CLF</t>
        </is>
      </c>
      <c r="H530" t="inlineStr">
        <is>
          <t>MT_CTA. AHORRO</t>
        </is>
      </c>
      <c r="I530" t="inlineStr">
        <is>
          <t>CTA. AHORRO G.DIF_CORE_CORE</t>
        </is>
      </c>
      <c r="K530" t="n">
        <v>109</v>
      </c>
      <c r="M530" s="71" t="n">
        <v>49217</v>
      </c>
      <c r="N530" s="71" t="n">
        <v>49217</v>
      </c>
      <c r="O530" s="71" t="n">
        <v>49217</v>
      </c>
      <c r="P530" t="n">
        <v>25679.99679878049</v>
      </c>
      <c r="V530" t="n">
        <v>1</v>
      </c>
      <c r="W530" t="inlineStr">
        <is>
          <t>BALANCE TASAS</t>
        </is>
      </c>
      <c r="Y530" t="inlineStr">
        <is>
          <t>BALANCE TASAS</t>
        </is>
      </c>
      <c r="Z530" t="inlineStr">
        <is>
          <t>HTM</t>
        </is>
      </c>
      <c r="AA530" t="n">
        <v>1</v>
      </c>
    </row>
    <row r="531">
      <c r="A531" s="71" t="n">
        <v>45923</v>
      </c>
      <c r="B531" t="n">
        <v>1</v>
      </c>
      <c r="D531" t="inlineStr">
        <is>
          <t>PAS</t>
        </is>
      </c>
      <c r="E531" t="inlineStr">
        <is>
          <t>CLF</t>
        </is>
      </c>
      <c r="F531" t="inlineStr">
        <is>
          <t>CLF</t>
        </is>
      </c>
      <c r="H531" t="inlineStr">
        <is>
          <t>MT_CTA. AHORRO</t>
        </is>
      </c>
      <c r="I531" t="inlineStr">
        <is>
          <t>CTA. AHORRO G.DIF_CORE_CORE</t>
        </is>
      </c>
      <c r="K531" t="n">
        <v>110</v>
      </c>
      <c r="M531" s="71" t="n">
        <v>49248</v>
      </c>
      <c r="N531" s="71" t="n">
        <v>49248</v>
      </c>
      <c r="O531" s="71" t="n">
        <v>49248</v>
      </c>
      <c r="P531" t="n">
        <v>25679.99679878049</v>
      </c>
      <c r="V531" t="n">
        <v>1</v>
      </c>
      <c r="W531" t="inlineStr">
        <is>
          <t>BALANCE TASAS</t>
        </is>
      </c>
      <c r="Y531" t="inlineStr">
        <is>
          <t>BALANCE TASAS</t>
        </is>
      </c>
      <c r="Z531" t="inlineStr">
        <is>
          <t>HTM</t>
        </is>
      </c>
      <c r="AA531" t="n">
        <v>1</v>
      </c>
    </row>
    <row r="532">
      <c r="A532" s="71" t="n">
        <v>45923</v>
      </c>
      <c r="B532" t="n">
        <v>1</v>
      </c>
      <c r="D532" t="inlineStr">
        <is>
          <t>PAS</t>
        </is>
      </c>
      <c r="E532" t="inlineStr">
        <is>
          <t>CLF</t>
        </is>
      </c>
      <c r="F532" t="inlineStr">
        <is>
          <t>CLF</t>
        </is>
      </c>
      <c r="H532" t="inlineStr">
        <is>
          <t>MT_CTA. AHORRO</t>
        </is>
      </c>
      <c r="I532" t="inlineStr">
        <is>
          <t>CTA. AHORRO G.DIF_CORE_CORE</t>
        </is>
      </c>
      <c r="K532" t="n">
        <v>111</v>
      </c>
      <c r="M532" s="71" t="n">
        <v>49278</v>
      </c>
      <c r="N532" s="71" t="n">
        <v>49278</v>
      </c>
      <c r="O532" s="71" t="n">
        <v>49278</v>
      </c>
      <c r="P532" t="n">
        <v>25679.99679878049</v>
      </c>
      <c r="V532" t="n">
        <v>1</v>
      </c>
      <c r="W532" t="inlineStr">
        <is>
          <t>BALANCE TASAS</t>
        </is>
      </c>
      <c r="Y532" t="inlineStr">
        <is>
          <t>BALANCE TASAS</t>
        </is>
      </c>
      <c r="Z532" t="inlineStr">
        <is>
          <t>HTM</t>
        </is>
      </c>
      <c r="AA532" t="n">
        <v>1</v>
      </c>
    </row>
    <row r="533">
      <c r="A533" s="71" t="n">
        <v>45923</v>
      </c>
      <c r="B533" t="n">
        <v>1</v>
      </c>
      <c r="D533" t="inlineStr">
        <is>
          <t>PAS</t>
        </is>
      </c>
      <c r="E533" t="inlineStr">
        <is>
          <t>CLF</t>
        </is>
      </c>
      <c r="F533" t="inlineStr">
        <is>
          <t>CLF</t>
        </is>
      </c>
      <c r="H533" t="inlineStr">
        <is>
          <t>MT_CTA. AHORRO</t>
        </is>
      </c>
      <c r="I533" t="inlineStr">
        <is>
          <t>CTA. AHORRO G.DIF_CORE_CORE</t>
        </is>
      </c>
      <c r="K533" t="n">
        <v>112</v>
      </c>
      <c r="M533" s="71" t="n">
        <v>49309</v>
      </c>
      <c r="N533" s="71" t="n">
        <v>49309</v>
      </c>
      <c r="O533" s="71" t="n">
        <v>49309</v>
      </c>
      <c r="P533" t="n">
        <v>25679.99679878049</v>
      </c>
      <c r="V533" t="n">
        <v>1</v>
      </c>
      <c r="W533" t="inlineStr">
        <is>
          <t>BALANCE TASAS</t>
        </is>
      </c>
      <c r="Y533" t="inlineStr">
        <is>
          <t>BALANCE TASAS</t>
        </is>
      </c>
      <c r="Z533" t="inlineStr">
        <is>
          <t>HTM</t>
        </is>
      </c>
      <c r="AA533" t="n">
        <v>1</v>
      </c>
    </row>
    <row r="534">
      <c r="A534" s="71" t="n">
        <v>45923</v>
      </c>
      <c r="B534" t="n">
        <v>1</v>
      </c>
      <c r="D534" t="inlineStr">
        <is>
          <t>PAS</t>
        </is>
      </c>
      <c r="E534" t="inlineStr">
        <is>
          <t>CLF</t>
        </is>
      </c>
      <c r="F534" t="inlineStr">
        <is>
          <t>CLF</t>
        </is>
      </c>
      <c r="H534" t="inlineStr">
        <is>
          <t>MT_CTA. AHORRO</t>
        </is>
      </c>
      <c r="I534" t="inlineStr">
        <is>
          <t>CTA. AHORRO G.DIF_CORE_CORE</t>
        </is>
      </c>
      <c r="K534" t="n">
        <v>113</v>
      </c>
      <c r="M534" s="71" t="n">
        <v>49340</v>
      </c>
      <c r="N534" s="71" t="n">
        <v>49340</v>
      </c>
      <c r="O534" s="71" t="n">
        <v>49340</v>
      </c>
      <c r="P534" t="n">
        <v>25679.99679878049</v>
      </c>
      <c r="V534" t="n">
        <v>1</v>
      </c>
      <c r="W534" t="inlineStr">
        <is>
          <t>BALANCE TASAS</t>
        </is>
      </c>
      <c r="Y534" t="inlineStr">
        <is>
          <t>BALANCE TASAS</t>
        </is>
      </c>
      <c r="Z534" t="inlineStr">
        <is>
          <t>HTM</t>
        </is>
      </c>
      <c r="AA534" t="n">
        <v>1</v>
      </c>
    </row>
    <row r="535">
      <c r="A535" s="71" t="n">
        <v>45923</v>
      </c>
      <c r="B535" t="n">
        <v>1</v>
      </c>
      <c r="D535" t="inlineStr">
        <is>
          <t>PAS</t>
        </is>
      </c>
      <c r="E535" t="inlineStr">
        <is>
          <t>CLF</t>
        </is>
      </c>
      <c r="F535" t="inlineStr">
        <is>
          <t>CLF</t>
        </is>
      </c>
      <c r="H535" t="inlineStr">
        <is>
          <t>MT_CTA. AHORRO</t>
        </is>
      </c>
      <c r="I535" t="inlineStr">
        <is>
          <t>CTA. AHORRO G.DIF_CORE_CORE</t>
        </is>
      </c>
      <c r="K535" t="n">
        <v>114</v>
      </c>
      <c r="M535" s="71" t="n">
        <v>49368</v>
      </c>
      <c r="N535" s="71" t="n">
        <v>49368</v>
      </c>
      <c r="O535" s="71" t="n">
        <v>49368</v>
      </c>
      <c r="P535" t="n">
        <v>25679.99679878049</v>
      </c>
      <c r="V535" t="n">
        <v>1</v>
      </c>
      <c r="W535" t="inlineStr">
        <is>
          <t>BALANCE TASAS</t>
        </is>
      </c>
      <c r="Y535" t="inlineStr">
        <is>
          <t>BALANCE TASAS</t>
        </is>
      </c>
      <c r="Z535" t="inlineStr">
        <is>
          <t>HTM</t>
        </is>
      </c>
      <c r="AA535" t="n">
        <v>1</v>
      </c>
    </row>
    <row r="536">
      <c r="A536" s="71" t="n">
        <v>45923</v>
      </c>
      <c r="B536" t="n">
        <v>1</v>
      </c>
      <c r="D536" t="inlineStr">
        <is>
          <t>PAS</t>
        </is>
      </c>
      <c r="E536" t="inlineStr">
        <is>
          <t>CLF</t>
        </is>
      </c>
      <c r="F536" t="inlineStr">
        <is>
          <t>CLF</t>
        </is>
      </c>
      <c r="H536" t="inlineStr">
        <is>
          <t>MT_CTA. AHORRO</t>
        </is>
      </c>
      <c r="I536" t="inlineStr">
        <is>
          <t>CTA. AHORRO G.DIF_CORE_CORE</t>
        </is>
      </c>
      <c r="K536" t="n">
        <v>115</v>
      </c>
      <c r="M536" s="71" t="n">
        <v>49399</v>
      </c>
      <c r="N536" s="71" t="n">
        <v>49399</v>
      </c>
      <c r="O536" s="71" t="n">
        <v>49399</v>
      </c>
      <c r="P536" t="n">
        <v>25679.99679878049</v>
      </c>
      <c r="V536" t="n">
        <v>1</v>
      </c>
      <c r="W536" t="inlineStr">
        <is>
          <t>BALANCE TASAS</t>
        </is>
      </c>
      <c r="Y536" t="inlineStr">
        <is>
          <t>BALANCE TASAS</t>
        </is>
      </c>
      <c r="Z536" t="inlineStr">
        <is>
          <t>HTM</t>
        </is>
      </c>
      <c r="AA536" t="n">
        <v>1</v>
      </c>
    </row>
    <row r="537">
      <c r="A537" s="71" t="n">
        <v>45923</v>
      </c>
      <c r="B537" t="n">
        <v>1</v>
      </c>
      <c r="D537" t="inlineStr">
        <is>
          <t>PAS</t>
        </is>
      </c>
      <c r="E537" t="inlineStr">
        <is>
          <t>CLF</t>
        </is>
      </c>
      <c r="F537" t="inlineStr">
        <is>
          <t>CLF</t>
        </is>
      </c>
      <c r="H537" t="inlineStr">
        <is>
          <t>MT_CTA. AHORRO</t>
        </is>
      </c>
      <c r="I537" t="inlineStr">
        <is>
          <t>CTA. AHORRO G.DIF_CORE_CORE</t>
        </is>
      </c>
      <c r="K537" t="n">
        <v>116</v>
      </c>
      <c r="M537" s="71" t="n">
        <v>49429</v>
      </c>
      <c r="N537" s="71" t="n">
        <v>49429</v>
      </c>
      <c r="O537" s="71" t="n">
        <v>49429</v>
      </c>
      <c r="P537" t="n">
        <v>25679.99679878049</v>
      </c>
      <c r="V537" t="n">
        <v>1</v>
      </c>
      <c r="W537" t="inlineStr">
        <is>
          <t>BALANCE TASAS</t>
        </is>
      </c>
      <c r="Y537" t="inlineStr">
        <is>
          <t>BALANCE TASAS</t>
        </is>
      </c>
      <c r="Z537" t="inlineStr">
        <is>
          <t>HTM</t>
        </is>
      </c>
      <c r="AA537" t="n">
        <v>1</v>
      </c>
    </row>
    <row r="538">
      <c r="A538" s="71" t="n">
        <v>45923</v>
      </c>
      <c r="B538" t="n">
        <v>1</v>
      </c>
      <c r="D538" t="inlineStr">
        <is>
          <t>PAS</t>
        </is>
      </c>
      <c r="E538" t="inlineStr">
        <is>
          <t>CLF</t>
        </is>
      </c>
      <c r="F538" t="inlineStr">
        <is>
          <t>CLF</t>
        </is>
      </c>
      <c r="H538" t="inlineStr">
        <is>
          <t>MT_CTA. AHORRO</t>
        </is>
      </c>
      <c r="I538" t="inlineStr">
        <is>
          <t>CTA. AHORRO G.DIF_CORE_CORE</t>
        </is>
      </c>
      <c r="K538" t="n">
        <v>117</v>
      </c>
      <c r="M538" s="71" t="n">
        <v>49460</v>
      </c>
      <c r="N538" s="71" t="n">
        <v>49460</v>
      </c>
      <c r="O538" s="71" t="n">
        <v>49460</v>
      </c>
      <c r="P538" t="n">
        <v>25679.99679878049</v>
      </c>
      <c r="V538" t="n">
        <v>1</v>
      </c>
      <c r="W538" t="inlineStr">
        <is>
          <t>BALANCE TASAS</t>
        </is>
      </c>
      <c r="Y538" t="inlineStr">
        <is>
          <t>BALANCE TASAS</t>
        </is>
      </c>
      <c r="Z538" t="inlineStr">
        <is>
          <t>HTM</t>
        </is>
      </c>
      <c r="AA538" t="n">
        <v>1</v>
      </c>
    </row>
    <row r="539">
      <c r="A539" s="71" t="n">
        <v>45923</v>
      </c>
      <c r="B539" t="n">
        <v>1</v>
      </c>
      <c r="D539" t="inlineStr">
        <is>
          <t>PAS</t>
        </is>
      </c>
      <c r="E539" t="inlineStr">
        <is>
          <t>CLF</t>
        </is>
      </c>
      <c r="F539" t="inlineStr">
        <is>
          <t>CLF</t>
        </is>
      </c>
      <c r="H539" t="inlineStr">
        <is>
          <t>MT_CTA. AHORRO</t>
        </is>
      </c>
      <c r="I539" t="inlineStr">
        <is>
          <t>CTA. AHORRO G.DIF_CORE_CORE</t>
        </is>
      </c>
      <c r="K539" t="n">
        <v>118</v>
      </c>
      <c r="M539" s="71" t="n">
        <v>49490</v>
      </c>
      <c r="N539" s="71" t="n">
        <v>49490</v>
      </c>
      <c r="O539" s="71" t="n">
        <v>49490</v>
      </c>
      <c r="P539" t="n">
        <v>25679.99679878049</v>
      </c>
      <c r="V539" t="n">
        <v>1</v>
      </c>
      <c r="W539" t="inlineStr">
        <is>
          <t>BALANCE TASAS</t>
        </is>
      </c>
      <c r="Y539" t="inlineStr">
        <is>
          <t>BALANCE TASAS</t>
        </is>
      </c>
      <c r="Z539" t="inlineStr">
        <is>
          <t>HTM</t>
        </is>
      </c>
      <c r="AA539" t="n">
        <v>1</v>
      </c>
    </row>
    <row r="540">
      <c r="A540" s="71" t="n">
        <v>45923</v>
      </c>
      <c r="B540" t="n">
        <v>1</v>
      </c>
      <c r="D540" t="inlineStr">
        <is>
          <t>PAS</t>
        </is>
      </c>
      <c r="E540" t="inlineStr">
        <is>
          <t>CLF</t>
        </is>
      </c>
      <c r="F540" t="inlineStr">
        <is>
          <t>CLF</t>
        </is>
      </c>
      <c r="H540" t="inlineStr">
        <is>
          <t>MT_CTA. AHORRO</t>
        </is>
      </c>
      <c r="I540" t="inlineStr">
        <is>
          <t>CTA. AHORRO G.DIF_CORE_CORE</t>
        </is>
      </c>
      <c r="K540" t="n">
        <v>119</v>
      </c>
      <c r="M540" s="71" t="n">
        <v>49521</v>
      </c>
      <c r="N540" s="71" t="n">
        <v>49521</v>
      </c>
      <c r="O540" s="71" t="n">
        <v>49521</v>
      </c>
      <c r="P540" t="n">
        <v>25679.99679878049</v>
      </c>
      <c r="V540" t="n">
        <v>1</v>
      </c>
      <c r="W540" t="inlineStr">
        <is>
          <t>BALANCE TASAS</t>
        </is>
      </c>
      <c r="Y540" t="inlineStr">
        <is>
          <t>BALANCE TASAS</t>
        </is>
      </c>
      <c r="Z540" t="inlineStr">
        <is>
          <t>HTM</t>
        </is>
      </c>
      <c r="AA540" t="n">
        <v>1</v>
      </c>
    </row>
    <row r="541">
      <c r="A541" s="71" t="n">
        <v>45923</v>
      </c>
      <c r="B541" t="n">
        <v>1</v>
      </c>
      <c r="D541" t="inlineStr">
        <is>
          <t>PAS</t>
        </is>
      </c>
      <c r="E541" t="inlineStr">
        <is>
          <t>CLF</t>
        </is>
      </c>
      <c r="F541" t="inlineStr">
        <is>
          <t>CLF</t>
        </is>
      </c>
      <c r="H541" t="inlineStr">
        <is>
          <t>MT_CTA. AHORRO</t>
        </is>
      </c>
      <c r="I541" t="inlineStr">
        <is>
          <t>CTA. AHORRO G.DIF_CORE_CORE</t>
        </is>
      </c>
      <c r="K541" t="n">
        <v>120</v>
      </c>
      <c r="M541" s="71" t="n">
        <v>49552</v>
      </c>
      <c r="N541" s="71" t="n">
        <v>49552</v>
      </c>
      <c r="O541" s="71" t="n">
        <v>49552</v>
      </c>
      <c r="P541" t="n">
        <v>25679.99679878049</v>
      </c>
      <c r="V541" t="n">
        <v>1</v>
      </c>
      <c r="W541" t="inlineStr">
        <is>
          <t>BALANCE TASAS</t>
        </is>
      </c>
      <c r="Y541" t="inlineStr">
        <is>
          <t>BALANCE TASAS</t>
        </is>
      </c>
      <c r="Z541" t="inlineStr">
        <is>
          <t>HTM</t>
        </is>
      </c>
      <c r="AA541" t="n">
        <v>1</v>
      </c>
    </row>
    <row r="542">
      <c r="A542" s="71" t="n">
        <v>45923</v>
      </c>
      <c r="B542" t="n">
        <v>1</v>
      </c>
      <c r="D542" t="inlineStr">
        <is>
          <t>PAS</t>
        </is>
      </c>
      <c r="E542" t="inlineStr">
        <is>
          <t>CLF</t>
        </is>
      </c>
      <c r="F542" t="inlineStr">
        <is>
          <t>CLF</t>
        </is>
      </c>
      <c r="H542" t="inlineStr">
        <is>
          <t>MT_CTA. AHORRO</t>
        </is>
      </c>
      <c r="I542" t="inlineStr">
        <is>
          <t>CTA. AHORRO G.DIF_CORE_CORE</t>
        </is>
      </c>
      <c r="K542" t="n">
        <v>121</v>
      </c>
      <c r="M542" s="71" t="n">
        <v>49582</v>
      </c>
      <c r="N542" s="71" t="n">
        <v>49582</v>
      </c>
      <c r="O542" s="71" t="n">
        <v>49582</v>
      </c>
      <c r="P542" t="n">
        <v>25679.99679878049</v>
      </c>
      <c r="V542" t="n">
        <v>1</v>
      </c>
      <c r="W542" t="inlineStr">
        <is>
          <t>BALANCE TASAS</t>
        </is>
      </c>
      <c r="Y542" t="inlineStr">
        <is>
          <t>BALANCE TASAS</t>
        </is>
      </c>
      <c r="Z542" t="inlineStr">
        <is>
          <t>HTM</t>
        </is>
      </c>
      <c r="AA542" t="n">
        <v>1</v>
      </c>
    </row>
    <row r="543">
      <c r="A543" s="71" t="n">
        <v>45923</v>
      </c>
      <c r="B543" t="n">
        <v>1</v>
      </c>
      <c r="D543" t="inlineStr">
        <is>
          <t>PAS</t>
        </is>
      </c>
      <c r="E543" t="inlineStr">
        <is>
          <t>CLF</t>
        </is>
      </c>
      <c r="F543" t="inlineStr">
        <is>
          <t>CLF</t>
        </is>
      </c>
      <c r="H543" t="inlineStr">
        <is>
          <t>MT_CTA. AHORRO</t>
        </is>
      </c>
      <c r="I543" t="inlineStr">
        <is>
          <t>CTA. AHORRO G.DIF_CORE_CORE</t>
        </is>
      </c>
      <c r="K543" t="n">
        <v>122</v>
      </c>
      <c r="M543" s="71" t="n">
        <v>49613</v>
      </c>
      <c r="N543" s="71" t="n">
        <v>49613</v>
      </c>
      <c r="O543" s="71" t="n">
        <v>49613</v>
      </c>
      <c r="P543" t="n">
        <v>25679.99679878049</v>
      </c>
      <c r="V543" t="n">
        <v>1</v>
      </c>
      <c r="W543" t="inlineStr">
        <is>
          <t>BALANCE TASAS</t>
        </is>
      </c>
      <c r="Y543" t="inlineStr">
        <is>
          <t>BALANCE TASAS</t>
        </is>
      </c>
      <c r="Z543" t="inlineStr">
        <is>
          <t>HTM</t>
        </is>
      </c>
      <c r="AA543" t="n">
        <v>1</v>
      </c>
    </row>
    <row r="544">
      <c r="A544" s="71" t="n">
        <v>45923</v>
      </c>
      <c r="B544" t="n">
        <v>1</v>
      </c>
      <c r="D544" t="inlineStr">
        <is>
          <t>PAS</t>
        </is>
      </c>
      <c r="E544" t="inlineStr">
        <is>
          <t>CLF</t>
        </is>
      </c>
      <c r="F544" t="inlineStr">
        <is>
          <t>CLF</t>
        </is>
      </c>
      <c r="H544" t="inlineStr">
        <is>
          <t>MT_CTA. AHORRO</t>
        </is>
      </c>
      <c r="I544" t="inlineStr">
        <is>
          <t>CTA. AHORRO G.DIF_CORE_CORE</t>
        </is>
      </c>
      <c r="K544" t="n">
        <v>123</v>
      </c>
      <c r="M544" s="71" t="n">
        <v>49643</v>
      </c>
      <c r="N544" s="71" t="n">
        <v>49643</v>
      </c>
      <c r="O544" s="71" t="n">
        <v>49643</v>
      </c>
      <c r="P544" t="n">
        <v>25679.99679878049</v>
      </c>
      <c r="V544" t="n">
        <v>1</v>
      </c>
      <c r="W544" t="inlineStr">
        <is>
          <t>BALANCE TASAS</t>
        </is>
      </c>
      <c r="Y544" t="inlineStr">
        <is>
          <t>BALANCE TASAS</t>
        </is>
      </c>
      <c r="Z544" t="inlineStr">
        <is>
          <t>HTM</t>
        </is>
      </c>
      <c r="AA544" t="n">
        <v>1</v>
      </c>
    </row>
    <row r="545">
      <c r="A545" s="71" t="n">
        <v>45923</v>
      </c>
      <c r="B545" t="n">
        <v>1</v>
      </c>
      <c r="D545" t="inlineStr">
        <is>
          <t>PAS</t>
        </is>
      </c>
      <c r="E545" t="inlineStr">
        <is>
          <t>CLF</t>
        </is>
      </c>
      <c r="F545" t="inlineStr">
        <is>
          <t>CLF</t>
        </is>
      </c>
      <c r="H545" t="inlineStr">
        <is>
          <t>MT_CTA. AHORRO</t>
        </is>
      </c>
      <c r="I545" t="inlineStr">
        <is>
          <t>CTA. AHORRO G.DIF_CORE_CORE</t>
        </is>
      </c>
      <c r="K545" t="n">
        <v>124</v>
      </c>
      <c r="M545" s="71" t="n">
        <v>49674</v>
      </c>
      <c r="N545" s="71" t="n">
        <v>49674</v>
      </c>
      <c r="O545" s="71" t="n">
        <v>49674</v>
      </c>
      <c r="P545" t="n">
        <v>25679.99679878049</v>
      </c>
      <c r="V545" t="n">
        <v>1</v>
      </c>
      <c r="W545" t="inlineStr">
        <is>
          <t>BALANCE TASAS</t>
        </is>
      </c>
      <c r="Y545" t="inlineStr">
        <is>
          <t>BALANCE TASAS</t>
        </is>
      </c>
      <c r="Z545" t="inlineStr">
        <is>
          <t>HTM</t>
        </is>
      </c>
      <c r="AA545" t="n">
        <v>1</v>
      </c>
    </row>
    <row r="546">
      <c r="A546" s="71" t="n">
        <v>45923</v>
      </c>
      <c r="B546" t="n">
        <v>1</v>
      </c>
      <c r="D546" t="inlineStr">
        <is>
          <t>PAS</t>
        </is>
      </c>
      <c r="E546" t="inlineStr">
        <is>
          <t>CLF</t>
        </is>
      </c>
      <c r="F546" t="inlineStr">
        <is>
          <t>CLF</t>
        </is>
      </c>
      <c r="H546" t="inlineStr">
        <is>
          <t>MT_CTA. AHORRO</t>
        </is>
      </c>
      <c r="I546" t="inlineStr">
        <is>
          <t>CTA. AHORRO G.DIF_CORE_CORE</t>
        </is>
      </c>
      <c r="K546" t="n">
        <v>125</v>
      </c>
      <c r="M546" s="71" t="n">
        <v>49705</v>
      </c>
      <c r="N546" s="71" t="n">
        <v>49705</v>
      </c>
      <c r="O546" s="71" t="n">
        <v>49705</v>
      </c>
      <c r="P546" t="n">
        <v>25679.99679878049</v>
      </c>
      <c r="V546" t="n">
        <v>1</v>
      </c>
      <c r="W546" t="inlineStr">
        <is>
          <t>BALANCE TASAS</t>
        </is>
      </c>
      <c r="Y546" t="inlineStr">
        <is>
          <t>BALANCE TASAS</t>
        </is>
      </c>
      <c r="Z546" t="inlineStr">
        <is>
          <t>HTM</t>
        </is>
      </c>
      <c r="AA546" t="n">
        <v>1</v>
      </c>
    </row>
    <row r="547">
      <c r="A547" s="71" t="n">
        <v>45923</v>
      </c>
      <c r="B547" t="n">
        <v>1</v>
      </c>
      <c r="D547" t="inlineStr">
        <is>
          <t>PAS</t>
        </is>
      </c>
      <c r="E547" t="inlineStr">
        <is>
          <t>CLF</t>
        </is>
      </c>
      <c r="F547" t="inlineStr">
        <is>
          <t>CLF</t>
        </is>
      </c>
      <c r="H547" t="inlineStr">
        <is>
          <t>MT_CTA. AHORRO</t>
        </is>
      </c>
      <c r="I547" t="inlineStr">
        <is>
          <t>CTA. AHORRO G.DIF_CORE_CORE</t>
        </is>
      </c>
      <c r="K547" t="n">
        <v>126</v>
      </c>
      <c r="M547" s="71" t="n">
        <v>49734</v>
      </c>
      <c r="N547" s="71" t="n">
        <v>49734</v>
      </c>
      <c r="O547" s="71" t="n">
        <v>49734</v>
      </c>
      <c r="P547" t="n">
        <v>25679.99679878049</v>
      </c>
      <c r="V547" t="n">
        <v>1</v>
      </c>
      <c r="W547" t="inlineStr">
        <is>
          <t>BALANCE TASAS</t>
        </is>
      </c>
      <c r="Y547" t="inlineStr">
        <is>
          <t>BALANCE TASAS</t>
        </is>
      </c>
      <c r="Z547" t="inlineStr">
        <is>
          <t>HTM</t>
        </is>
      </c>
      <c r="AA547" t="n">
        <v>1</v>
      </c>
    </row>
    <row r="548">
      <c r="A548" s="71" t="n">
        <v>45923</v>
      </c>
      <c r="B548" t="n">
        <v>1</v>
      </c>
      <c r="D548" t="inlineStr">
        <is>
          <t>PAS</t>
        </is>
      </c>
      <c r="E548" t="inlineStr">
        <is>
          <t>CLF</t>
        </is>
      </c>
      <c r="F548" t="inlineStr">
        <is>
          <t>CLF</t>
        </is>
      </c>
      <c r="H548" t="inlineStr">
        <is>
          <t>MT_CTA. AHORRO</t>
        </is>
      </c>
      <c r="I548" t="inlineStr">
        <is>
          <t>CTA. AHORRO G.DIF_CORE_CORE</t>
        </is>
      </c>
      <c r="K548" t="n">
        <v>127</v>
      </c>
      <c r="M548" s="71" t="n">
        <v>49765</v>
      </c>
      <c r="N548" s="71" t="n">
        <v>49765</v>
      </c>
      <c r="O548" s="71" t="n">
        <v>49765</v>
      </c>
      <c r="P548" t="n">
        <v>25679.99679878049</v>
      </c>
      <c r="V548" t="n">
        <v>1</v>
      </c>
      <c r="W548" t="inlineStr">
        <is>
          <t>BALANCE TASAS</t>
        </is>
      </c>
      <c r="Y548" t="inlineStr">
        <is>
          <t>BALANCE TASAS</t>
        </is>
      </c>
      <c r="Z548" t="inlineStr">
        <is>
          <t>HTM</t>
        </is>
      </c>
      <c r="AA548" t="n">
        <v>1</v>
      </c>
    </row>
    <row r="549">
      <c r="A549" s="71" t="n">
        <v>45923</v>
      </c>
      <c r="B549" t="n">
        <v>1</v>
      </c>
      <c r="D549" t="inlineStr">
        <is>
          <t>PAS</t>
        </is>
      </c>
      <c r="E549" t="inlineStr">
        <is>
          <t>CLF</t>
        </is>
      </c>
      <c r="F549" t="inlineStr">
        <is>
          <t>CLF</t>
        </is>
      </c>
      <c r="H549" t="inlineStr">
        <is>
          <t>MT_CTA. AHORRO</t>
        </is>
      </c>
      <c r="I549" t="inlineStr">
        <is>
          <t>CTA. AHORRO G.DIF_CORE_CORE</t>
        </is>
      </c>
      <c r="K549" t="n">
        <v>128</v>
      </c>
      <c r="M549" s="71" t="n">
        <v>49795</v>
      </c>
      <c r="N549" s="71" t="n">
        <v>49795</v>
      </c>
      <c r="O549" s="71" t="n">
        <v>49795</v>
      </c>
      <c r="P549" t="n">
        <v>1069.543673780488</v>
      </c>
      <c r="V549" t="n">
        <v>1</v>
      </c>
      <c r="W549" t="inlineStr">
        <is>
          <t>BALANCE TASAS</t>
        </is>
      </c>
      <c r="Y549" t="inlineStr">
        <is>
          <t>BALANCE TASAS</t>
        </is>
      </c>
      <c r="Z549" t="inlineStr">
        <is>
          <t>HTM</t>
        </is>
      </c>
      <c r="AA549" t="n">
        <v>1</v>
      </c>
    </row>
    <row r="550">
      <c r="A550" s="71" t="n">
        <v>45923</v>
      </c>
      <c r="B550" t="n">
        <v>1</v>
      </c>
      <c r="D550" t="inlineStr">
        <is>
          <t>PAS</t>
        </is>
      </c>
      <c r="E550" t="inlineStr">
        <is>
          <t>CLF</t>
        </is>
      </c>
      <c r="F550" t="inlineStr">
        <is>
          <t>CLF</t>
        </is>
      </c>
      <c r="H550" t="inlineStr">
        <is>
          <t>MT_CTA. AHORRO</t>
        </is>
      </c>
      <c r="I550" t="inlineStr">
        <is>
          <t>CTA. AHORRO G.DIF_CORE_CORE</t>
        </is>
      </c>
      <c r="K550" t="n">
        <v>129</v>
      </c>
      <c r="M550" s="71" t="n">
        <v>49826</v>
      </c>
      <c r="N550" s="71" t="n">
        <v>49826</v>
      </c>
      <c r="O550" s="71" t="n">
        <v>49826</v>
      </c>
      <c r="P550" t="n">
        <v>1069.543673780488</v>
      </c>
      <c r="V550" t="n">
        <v>1</v>
      </c>
      <c r="W550" t="inlineStr">
        <is>
          <t>BALANCE TASAS</t>
        </is>
      </c>
      <c r="Y550" t="inlineStr">
        <is>
          <t>BALANCE TASAS</t>
        </is>
      </c>
      <c r="Z550" t="inlineStr">
        <is>
          <t>HTM</t>
        </is>
      </c>
      <c r="AA550" t="n">
        <v>1</v>
      </c>
    </row>
    <row r="551">
      <c r="A551" s="71" t="n">
        <v>45923</v>
      </c>
      <c r="B551" t="n">
        <v>1</v>
      </c>
      <c r="D551" t="inlineStr">
        <is>
          <t>PAS</t>
        </is>
      </c>
      <c r="E551" t="inlineStr">
        <is>
          <t>CLF</t>
        </is>
      </c>
      <c r="F551" t="inlineStr">
        <is>
          <t>CLF</t>
        </is>
      </c>
      <c r="H551" t="inlineStr">
        <is>
          <t>MT_CTA. AHORRO</t>
        </is>
      </c>
      <c r="I551" t="inlineStr">
        <is>
          <t>CTA. AHORRO G.DIF_CORE_CORE</t>
        </is>
      </c>
      <c r="K551" t="n">
        <v>130</v>
      </c>
      <c r="M551" s="71" t="n">
        <v>49856</v>
      </c>
      <c r="N551" s="71" t="n">
        <v>49856</v>
      </c>
      <c r="O551" s="71" t="n">
        <v>49856</v>
      </c>
      <c r="P551" t="n">
        <v>1069.543673780488</v>
      </c>
      <c r="V551" t="n">
        <v>1</v>
      </c>
      <c r="W551" t="inlineStr">
        <is>
          <t>BALANCE TASAS</t>
        </is>
      </c>
      <c r="Y551" t="inlineStr">
        <is>
          <t>BALANCE TASAS</t>
        </is>
      </c>
      <c r="Z551" t="inlineStr">
        <is>
          <t>HTM</t>
        </is>
      </c>
      <c r="AA551" t="n">
        <v>1</v>
      </c>
    </row>
    <row r="552">
      <c r="A552" s="71" t="n">
        <v>45923</v>
      </c>
      <c r="B552" t="n">
        <v>1</v>
      </c>
      <c r="D552" t="inlineStr">
        <is>
          <t>PAS</t>
        </is>
      </c>
      <c r="E552" t="inlineStr">
        <is>
          <t>CLF</t>
        </is>
      </c>
      <c r="F552" t="inlineStr">
        <is>
          <t>CLF</t>
        </is>
      </c>
      <c r="H552" t="inlineStr">
        <is>
          <t>MT_CTA. AHORRO</t>
        </is>
      </c>
      <c r="I552" t="inlineStr">
        <is>
          <t>CTA. AHORRO G.DIF_CORE_CORE</t>
        </is>
      </c>
      <c r="K552" t="n">
        <v>131</v>
      </c>
      <c r="M552" s="71" t="n">
        <v>49887</v>
      </c>
      <c r="N552" s="71" t="n">
        <v>49887</v>
      </c>
      <c r="O552" s="71" t="n">
        <v>49887</v>
      </c>
      <c r="P552" t="n">
        <v>1069.543673780488</v>
      </c>
      <c r="V552" t="n">
        <v>1</v>
      </c>
      <c r="W552" t="inlineStr">
        <is>
          <t>BALANCE TASAS</t>
        </is>
      </c>
      <c r="Y552" t="inlineStr">
        <is>
          <t>BALANCE TASAS</t>
        </is>
      </c>
      <c r="Z552" t="inlineStr">
        <is>
          <t>HTM</t>
        </is>
      </c>
      <c r="AA552" t="n">
        <v>1</v>
      </c>
    </row>
    <row r="553">
      <c r="A553" s="71" t="n">
        <v>45923</v>
      </c>
      <c r="B553" t="n">
        <v>1</v>
      </c>
      <c r="D553" t="inlineStr">
        <is>
          <t>PAS</t>
        </is>
      </c>
      <c r="E553" t="inlineStr">
        <is>
          <t>CLF</t>
        </is>
      </c>
      <c r="F553" t="inlineStr">
        <is>
          <t>CLF</t>
        </is>
      </c>
      <c r="H553" t="inlineStr">
        <is>
          <t>MT_CTA. AHORRO</t>
        </is>
      </c>
      <c r="I553" t="inlineStr">
        <is>
          <t>CTA. AHORRO G.DIF_CORE_CORE</t>
        </is>
      </c>
      <c r="K553" t="n">
        <v>132</v>
      </c>
      <c r="M553" s="71" t="n">
        <v>49918</v>
      </c>
      <c r="N553" s="71" t="n">
        <v>49918</v>
      </c>
      <c r="O553" s="71" t="n">
        <v>49918</v>
      </c>
      <c r="P553" t="n">
        <v>1069.543673780488</v>
      </c>
      <c r="V553" t="n">
        <v>1</v>
      </c>
      <c r="W553" t="inlineStr">
        <is>
          <t>BALANCE TASAS</t>
        </is>
      </c>
      <c r="Y553" t="inlineStr">
        <is>
          <t>BALANCE TASAS</t>
        </is>
      </c>
      <c r="Z553" t="inlineStr">
        <is>
          <t>HTM</t>
        </is>
      </c>
      <c r="AA553" t="n">
        <v>1</v>
      </c>
    </row>
    <row r="554">
      <c r="A554" s="71" t="n">
        <v>45923</v>
      </c>
      <c r="B554" t="n">
        <v>1</v>
      </c>
      <c r="D554" t="inlineStr">
        <is>
          <t>PAS</t>
        </is>
      </c>
      <c r="E554" t="inlineStr">
        <is>
          <t>CLF</t>
        </is>
      </c>
      <c r="F554" t="inlineStr">
        <is>
          <t>CLF</t>
        </is>
      </c>
      <c r="H554" t="inlineStr">
        <is>
          <t>MT_CTA. AHORRO</t>
        </is>
      </c>
      <c r="I554" t="inlineStr">
        <is>
          <t>CTA. AHORRO G.DIF_CORE_CORE</t>
        </is>
      </c>
      <c r="K554" t="n">
        <v>133</v>
      </c>
      <c r="M554" s="71" t="n">
        <v>49948</v>
      </c>
      <c r="N554" s="71" t="n">
        <v>49948</v>
      </c>
      <c r="O554" s="71" t="n">
        <v>49948</v>
      </c>
      <c r="P554" t="n">
        <v>1069.543673780488</v>
      </c>
      <c r="V554" t="n">
        <v>1</v>
      </c>
      <c r="W554" t="inlineStr">
        <is>
          <t>BALANCE TASAS</t>
        </is>
      </c>
      <c r="Y554" t="inlineStr">
        <is>
          <t>BALANCE TASAS</t>
        </is>
      </c>
      <c r="Z554" t="inlineStr">
        <is>
          <t>HTM</t>
        </is>
      </c>
      <c r="AA554" t="n">
        <v>1</v>
      </c>
    </row>
    <row r="555">
      <c r="A555" s="71" t="n">
        <v>45923</v>
      </c>
      <c r="B555" t="n">
        <v>1</v>
      </c>
      <c r="D555" t="inlineStr">
        <is>
          <t>PAS</t>
        </is>
      </c>
      <c r="E555" t="inlineStr">
        <is>
          <t>CLF</t>
        </is>
      </c>
      <c r="F555" t="inlineStr">
        <is>
          <t>CLF</t>
        </is>
      </c>
      <c r="H555" t="inlineStr">
        <is>
          <t>MT_CTA. AHORRO</t>
        </is>
      </c>
      <c r="I555" t="inlineStr">
        <is>
          <t>CTA. AHORRO G.DIF_CORE_CORE</t>
        </is>
      </c>
      <c r="K555" t="n">
        <v>134</v>
      </c>
      <c r="M555" s="71" t="n">
        <v>49979</v>
      </c>
      <c r="N555" s="71" t="n">
        <v>49979</v>
      </c>
      <c r="O555" s="71" t="n">
        <v>49979</v>
      </c>
      <c r="P555" t="n">
        <v>1069.543673780488</v>
      </c>
      <c r="V555" t="n">
        <v>1</v>
      </c>
      <c r="W555" t="inlineStr">
        <is>
          <t>BALANCE TASAS</t>
        </is>
      </c>
      <c r="Y555" t="inlineStr">
        <is>
          <t>BALANCE TASAS</t>
        </is>
      </c>
      <c r="Z555" t="inlineStr">
        <is>
          <t>HTM</t>
        </is>
      </c>
      <c r="AA555" t="n">
        <v>1</v>
      </c>
    </row>
    <row r="556">
      <c r="A556" s="71" t="n">
        <v>45923</v>
      </c>
      <c r="B556" t="n">
        <v>1</v>
      </c>
      <c r="D556" t="inlineStr">
        <is>
          <t>PAS</t>
        </is>
      </c>
      <c r="E556" t="inlineStr">
        <is>
          <t>CLF</t>
        </is>
      </c>
      <c r="F556" t="inlineStr">
        <is>
          <t>CLF</t>
        </is>
      </c>
      <c r="H556" t="inlineStr">
        <is>
          <t>MT_CTA. AHORRO</t>
        </is>
      </c>
      <c r="I556" t="inlineStr">
        <is>
          <t>CTA. AHORRO G.DIF_CORE_CORE</t>
        </is>
      </c>
      <c r="K556" t="n">
        <v>135</v>
      </c>
      <c r="M556" s="71" t="n">
        <v>50009</v>
      </c>
      <c r="N556" s="71" t="n">
        <v>50009</v>
      </c>
      <c r="O556" s="71" t="n">
        <v>50009</v>
      </c>
      <c r="P556" t="n">
        <v>1069.543673780488</v>
      </c>
      <c r="V556" t="n">
        <v>1</v>
      </c>
      <c r="W556" t="inlineStr">
        <is>
          <t>BALANCE TASAS</t>
        </is>
      </c>
      <c r="Y556" t="inlineStr">
        <is>
          <t>BALANCE TASAS</t>
        </is>
      </c>
      <c r="Z556" t="inlineStr">
        <is>
          <t>HTM</t>
        </is>
      </c>
      <c r="AA556" t="n">
        <v>1</v>
      </c>
    </row>
    <row r="557">
      <c r="A557" s="71" t="n">
        <v>45923</v>
      </c>
      <c r="B557" t="n">
        <v>1</v>
      </c>
      <c r="D557" t="inlineStr">
        <is>
          <t>PAS</t>
        </is>
      </c>
      <c r="E557" t="inlineStr">
        <is>
          <t>CLF</t>
        </is>
      </c>
      <c r="F557" t="inlineStr">
        <is>
          <t>CLF</t>
        </is>
      </c>
      <c r="H557" t="inlineStr">
        <is>
          <t>MT_CTA. AHORRO</t>
        </is>
      </c>
      <c r="I557" t="inlineStr">
        <is>
          <t>CTA. AHORRO G.DIF_CORE_CORE</t>
        </is>
      </c>
      <c r="K557" t="n">
        <v>136</v>
      </c>
      <c r="M557" s="71" t="n">
        <v>50040</v>
      </c>
      <c r="N557" s="71" t="n">
        <v>50040</v>
      </c>
      <c r="O557" s="71" t="n">
        <v>50040</v>
      </c>
      <c r="P557" t="n">
        <v>1069.543673780488</v>
      </c>
      <c r="V557" t="n">
        <v>1</v>
      </c>
      <c r="W557" t="inlineStr">
        <is>
          <t>BALANCE TASAS</t>
        </is>
      </c>
      <c r="Y557" t="inlineStr">
        <is>
          <t>BALANCE TASAS</t>
        </is>
      </c>
      <c r="Z557" t="inlineStr">
        <is>
          <t>HTM</t>
        </is>
      </c>
      <c r="AA557" t="n">
        <v>1</v>
      </c>
    </row>
    <row r="558">
      <c r="A558" s="71" t="n">
        <v>45923</v>
      </c>
      <c r="B558" t="n">
        <v>1</v>
      </c>
      <c r="D558" t="inlineStr">
        <is>
          <t>PAS</t>
        </is>
      </c>
      <c r="E558" t="inlineStr">
        <is>
          <t>CLF</t>
        </is>
      </c>
      <c r="F558" t="inlineStr">
        <is>
          <t>CLF</t>
        </is>
      </c>
      <c r="H558" t="inlineStr">
        <is>
          <t>MT_CTA. AHORRO</t>
        </is>
      </c>
      <c r="I558" t="inlineStr">
        <is>
          <t>CTA. AHORRO G.DIF_CORE_CORE</t>
        </is>
      </c>
      <c r="K558" t="n">
        <v>137</v>
      </c>
      <c r="M558" s="71" t="n">
        <v>50071</v>
      </c>
      <c r="N558" s="71" t="n">
        <v>50071</v>
      </c>
      <c r="O558" s="71" t="n">
        <v>50071</v>
      </c>
      <c r="P558" t="n">
        <v>1069.543673780488</v>
      </c>
      <c r="V558" t="n">
        <v>1</v>
      </c>
      <c r="W558" t="inlineStr">
        <is>
          <t>BALANCE TASAS</t>
        </is>
      </c>
      <c r="Y558" t="inlineStr">
        <is>
          <t>BALANCE TASAS</t>
        </is>
      </c>
      <c r="Z558" t="inlineStr">
        <is>
          <t>HTM</t>
        </is>
      </c>
      <c r="AA558" t="n">
        <v>1</v>
      </c>
    </row>
    <row r="559">
      <c r="A559" s="71" t="n">
        <v>45923</v>
      </c>
      <c r="B559" t="n">
        <v>1</v>
      </c>
      <c r="D559" t="inlineStr">
        <is>
          <t>PAS</t>
        </is>
      </c>
      <c r="E559" t="inlineStr">
        <is>
          <t>CLF</t>
        </is>
      </c>
      <c r="F559" t="inlineStr">
        <is>
          <t>CLF</t>
        </is>
      </c>
      <c r="H559" t="inlineStr">
        <is>
          <t>MT_CTA. AHORRO</t>
        </is>
      </c>
      <c r="I559" t="inlineStr">
        <is>
          <t>CTA. AHORRO G.DIF_CORE_CORE</t>
        </is>
      </c>
      <c r="K559" t="n">
        <v>138</v>
      </c>
      <c r="M559" s="71" t="n">
        <v>50099</v>
      </c>
      <c r="N559" s="71" t="n">
        <v>50099</v>
      </c>
      <c r="O559" s="71" t="n">
        <v>50099</v>
      </c>
      <c r="P559" t="n">
        <v>1069.543673780488</v>
      </c>
      <c r="V559" t="n">
        <v>1</v>
      </c>
      <c r="W559" t="inlineStr">
        <is>
          <t>BALANCE TASAS</t>
        </is>
      </c>
      <c r="Y559" t="inlineStr">
        <is>
          <t>BALANCE TASAS</t>
        </is>
      </c>
      <c r="Z559" t="inlineStr">
        <is>
          <t>HTM</t>
        </is>
      </c>
      <c r="AA559" t="n">
        <v>1</v>
      </c>
    </row>
    <row r="560">
      <c r="A560" s="71" t="n">
        <v>45923</v>
      </c>
      <c r="B560" t="n">
        <v>1</v>
      </c>
      <c r="D560" t="inlineStr">
        <is>
          <t>PAS</t>
        </is>
      </c>
      <c r="E560" t="inlineStr">
        <is>
          <t>CLF</t>
        </is>
      </c>
      <c r="F560" t="inlineStr">
        <is>
          <t>CLF</t>
        </is>
      </c>
      <c r="H560" t="inlineStr">
        <is>
          <t>MT_CTA. AHORRO</t>
        </is>
      </c>
      <c r="I560" t="inlineStr">
        <is>
          <t>CTA. AHORRO G.DIF_CORE_CORE</t>
        </is>
      </c>
      <c r="K560" t="n">
        <v>139</v>
      </c>
      <c r="M560" s="71" t="n">
        <v>50130</v>
      </c>
      <c r="N560" s="71" t="n">
        <v>50130</v>
      </c>
      <c r="O560" s="71" t="n">
        <v>50130</v>
      </c>
      <c r="P560" t="n">
        <v>1069.543673780488</v>
      </c>
      <c r="V560" t="n">
        <v>1</v>
      </c>
      <c r="W560" t="inlineStr">
        <is>
          <t>BALANCE TASAS</t>
        </is>
      </c>
      <c r="Y560" t="inlineStr">
        <is>
          <t>BALANCE TASAS</t>
        </is>
      </c>
      <c r="Z560" t="inlineStr">
        <is>
          <t>HTM</t>
        </is>
      </c>
      <c r="AA560" t="n">
        <v>1</v>
      </c>
    </row>
    <row r="561">
      <c r="A561" s="71" t="n">
        <v>45923</v>
      </c>
      <c r="B561" t="n">
        <v>1</v>
      </c>
      <c r="D561" t="inlineStr">
        <is>
          <t>PAS</t>
        </is>
      </c>
      <c r="E561" t="inlineStr">
        <is>
          <t>CLF</t>
        </is>
      </c>
      <c r="F561" t="inlineStr">
        <is>
          <t>CLF</t>
        </is>
      </c>
      <c r="H561" t="inlineStr">
        <is>
          <t>MT_CTA. AHORRO</t>
        </is>
      </c>
      <c r="I561" t="inlineStr">
        <is>
          <t>CTA. AHORRO G.DIF_CORE_CORE</t>
        </is>
      </c>
      <c r="K561" t="n">
        <v>140</v>
      </c>
      <c r="M561" s="71" t="n">
        <v>50160</v>
      </c>
      <c r="N561" s="71" t="n">
        <v>50160</v>
      </c>
      <c r="O561" s="71" t="n">
        <v>50160</v>
      </c>
      <c r="P561" t="n">
        <v>1069.543673780488</v>
      </c>
      <c r="V561" t="n">
        <v>1</v>
      </c>
      <c r="W561" t="inlineStr">
        <is>
          <t>BALANCE TASAS</t>
        </is>
      </c>
      <c r="Y561" t="inlineStr">
        <is>
          <t>BALANCE TASAS</t>
        </is>
      </c>
      <c r="Z561" t="inlineStr">
        <is>
          <t>HTM</t>
        </is>
      </c>
      <c r="AA561" t="n">
        <v>1</v>
      </c>
    </row>
    <row r="562">
      <c r="A562" s="71" t="n">
        <v>45923</v>
      </c>
      <c r="B562" t="n">
        <v>1</v>
      </c>
      <c r="D562" t="inlineStr">
        <is>
          <t>PAS</t>
        </is>
      </c>
      <c r="E562" t="inlineStr">
        <is>
          <t>CLF</t>
        </is>
      </c>
      <c r="F562" t="inlineStr">
        <is>
          <t>CLF</t>
        </is>
      </c>
      <c r="H562" t="inlineStr">
        <is>
          <t>MT_CTA. AHORRO</t>
        </is>
      </c>
      <c r="I562" t="inlineStr">
        <is>
          <t>CTA. AHORRO G.DIF_CORE_CORE</t>
        </is>
      </c>
      <c r="K562" t="n">
        <v>141</v>
      </c>
      <c r="M562" s="71" t="n">
        <v>50191</v>
      </c>
      <c r="N562" s="71" t="n">
        <v>50191</v>
      </c>
      <c r="O562" s="71" t="n">
        <v>50191</v>
      </c>
      <c r="P562" t="n">
        <v>1069.543673780488</v>
      </c>
      <c r="V562" t="n">
        <v>1</v>
      </c>
      <c r="W562" t="inlineStr">
        <is>
          <t>BALANCE TASAS</t>
        </is>
      </c>
      <c r="Y562" t="inlineStr">
        <is>
          <t>BALANCE TASAS</t>
        </is>
      </c>
      <c r="Z562" t="inlineStr">
        <is>
          <t>HTM</t>
        </is>
      </c>
      <c r="AA562" t="n">
        <v>1</v>
      </c>
    </row>
    <row r="563">
      <c r="A563" s="71" t="n">
        <v>45923</v>
      </c>
      <c r="B563" t="n">
        <v>1</v>
      </c>
      <c r="D563" t="inlineStr">
        <is>
          <t>PAS</t>
        </is>
      </c>
      <c r="E563" t="inlineStr">
        <is>
          <t>CLF</t>
        </is>
      </c>
      <c r="F563" t="inlineStr">
        <is>
          <t>CLF</t>
        </is>
      </c>
      <c r="H563" t="inlineStr">
        <is>
          <t>MT_CTA. AHORRO</t>
        </is>
      </c>
      <c r="I563" t="inlineStr">
        <is>
          <t>CTA. AHORRO G.DIF_CORE_CORE</t>
        </is>
      </c>
      <c r="K563" t="n">
        <v>142</v>
      </c>
      <c r="M563" s="71" t="n">
        <v>50221</v>
      </c>
      <c r="N563" s="71" t="n">
        <v>50221</v>
      </c>
      <c r="O563" s="71" t="n">
        <v>50221</v>
      </c>
      <c r="P563" t="n">
        <v>1069.543673780488</v>
      </c>
      <c r="V563" t="n">
        <v>1</v>
      </c>
      <c r="W563" t="inlineStr">
        <is>
          <t>BALANCE TASAS</t>
        </is>
      </c>
      <c r="Y563" t="inlineStr">
        <is>
          <t>BALANCE TASAS</t>
        </is>
      </c>
      <c r="Z563" t="inlineStr">
        <is>
          <t>HTM</t>
        </is>
      </c>
      <c r="AA563" t="n">
        <v>1</v>
      </c>
    </row>
    <row r="564">
      <c r="A564" s="71" t="n">
        <v>45923</v>
      </c>
      <c r="B564" t="n">
        <v>1</v>
      </c>
      <c r="D564" t="inlineStr">
        <is>
          <t>PAS</t>
        </is>
      </c>
      <c r="E564" t="inlineStr">
        <is>
          <t>CLF</t>
        </is>
      </c>
      <c r="F564" t="inlineStr">
        <is>
          <t>CLF</t>
        </is>
      </c>
      <c r="H564" t="inlineStr">
        <is>
          <t>MT_CTA. AHORRO</t>
        </is>
      </c>
      <c r="I564" t="inlineStr">
        <is>
          <t>CTA. AHORRO G.DIF_CORE_CORE</t>
        </is>
      </c>
      <c r="K564" t="n">
        <v>143</v>
      </c>
      <c r="M564" s="71" t="n">
        <v>50252</v>
      </c>
      <c r="N564" s="71" t="n">
        <v>50252</v>
      </c>
      <c r="O564" s="71" t="n">
        <v>50252</v>
      </c>
      <c r="P564" t="n">
        <v>1069.543673780488</v>
      </c>
      <c r="V564" t="n">
        <v>1</v>
      </c>
      <c r="W564" t="inlineStr">
        <is>
          <t>BALANCE TASAS</t>
        </is>
      </c>
      <c r="Y564" t="inlineStr">
        <is>
          <t>BALANCE TASAS</t>
        </is>
      </c>
      <c r="Z564" t="inlineStr">
        <is>
          <t>HTM</t>
        </is>
      </c>
      <c r="AA564" t="n">
        <v>1</v>
      </c>
    </row>
    <row r="565">
      <c r="A565" s="71" t="n">
        <v>45923</v>
      </c>
      <c r="B565" t="n">
        <v>1</v>
      </c>
      <c r="D565" t="inlineStr">
        <is>
          <t>PAS</t>
        </is>
      </c>
      <c r="E565" t="inlineStr">
        <is>
          <t>CLF</t>
        </is>
      </c>
      <c r="F565" t="inlineStr">
        <is>
          <t>CLF</t>
        </is>
      </c>
      <c r="H565" t="inlineStr">
        <is>
          <t>MT_CTA. AHORRO</t>
        </is>
      </c>
      <c r="I565" t="inlineStr">
        <is>
          <t>CTA. AHORRO G.DIF_CORE_CORE</t>
        </is>
      </c>
      <c r="K565" t="n">
        <v>144</v>
      </c>
      <c r="M565" s="71" t="n">
        <v>50283</v>
      </c>
      <c r="N565" s="71" t="n">
        <v>50283</v>
      </c>
      <c r="O565" s="71" t="n">
        <v>50283</v>
      </c>
      <c r="P565" t="n">
        <v>1069.543673780488</v>
      </c>
      <c r="V565" t="n">
        <v>1</v>
      </c>
      <c r="W565" t="inlineStr">
        <is>
          <t>BALANCE TASAS</t>
        </is>
      </c>
      <c r="Y565" t="inlineStr">
        <is>
          <t>BALANCE TASAS</t>
        </is>
      </c>
      <c r="Z565" t="inlineStr">
        <is>
          <t>HTM</t>
        </is>
      </c>
      <c r="AA565" t="n">
        <v>1</v>
      </c>
    </row>
    <row r="566">
      <c r="A566" s="71" t="n">
        <v>45923</v>
      </c>
      <c r="B566" t="n">
        <v>1</v>
      </c>
      <c r="D566" t="inlineStr">
        <is>
          <t>PAS</t>
        </is>
      </c>
      <c r="E566" t="inlineStr">
        <is>
          <t>CLF</t>
        </is>
      </c>
      <c r="F566" t="inlineStr">
        <is>
          <t>CLF</t>
        </is>
      </c>
      <c r="H566" t="inlineStr">
        <is>
          <t>MT_CTA. AHORRO</t>
        </is>
      </c>
      <c r="I566" t="inlineStr">
        <is>
          <t>CTA. AHORRO G.DIF_CORE_CORE</t>
        </is>
      </c>
      <c r="K566" t="n">
        <v>145</v>
      </c>
      <c r="M566" s="71" t="n">
        <v>50313</v>
      </c>
      <c r="N566" s="71" t="n">
        <v>50313</v>
      </c>
      <c r="O566" s="71" t="n">
        <v>50313</v>
      </c>
      <c r="P566" t="n">
        <v>1069.543673780488</v>
      </c>
      <c r="V566" t="n">
        <v>1</v>
      </c>
      <c r="W566" t="inlineStr">
        <is>
          <t>BALANCE TASAS</t>
        </is>
      </c>
      <c r="Y566" t="inlineStr">
        <is>
          <t>BALANCE TASAS</t>
        </is>
      </c>
      <c r="Z566" t="inlineStr">
        <is>
          <t>HTM</t>
        </is>
      </c>
      <c r="AA566" t="n">
        <v>1</v>
      </c>
    </row>
    <row r="567">
      <c r="A567" s="71" t="n">
        <v>45923</v>
      </c>
      <c r="B567" t="n">
        <v>1</v>
      </c>
      <c r="D567" t="inlineStr">
        <is>
          <t>PAS</t>
        </is>
      </c>
      <c r="E567" t="inlineStr">
        <is>
          <t>CLF</t>
        </is>
      </c>
      <c r="F567" t="inlineStr">
        <is>
          <t>CLF</t>
        </is>
      </c>
      <c r="H567" t="inlineStr">
        <is>
          <t>MT_CTA. AHORRO</t>
        </is>
      </c>
      <c r="I567" t="inlineStr">
        <is>
          <t>CTA. AHORRO G.DIF_CORE_CORE</t>
        </is>
      </c>
      <c r="K567" t="n">
        <v>146</v>
      </c>
      <c r="M567" s="71" t="n">
        <v>50344</v>
      </c>
      <c r="N567" s="71" t="n">
        <v>50344</v>
      </c>
      <c r="O567" s="71" t="n">
        <v>50344</v>
      </c>
      <c r="P567" t="n">
        <v>1069.543673780488</v>
      </c>
      <c r="V567" t="n">
        <v>1</v>
      </c>
      <c r="W567" t="inlineStr">
        <is>
          <t>BALANCE TASAS</t>
        </is>
      </c>
      <c r="Y567" t="inlineStr">
        <is>
          <t>BALANCE TASAS</t>
        </is>
      </c>
      <c r="Z567" t="inlineStr">
        <is>
          <t>HTM</t>
        </is>
      </c>
      <c r="AA567" t="n">
        <v>1</v>
      </c>
    </row>
    <row r="568">
      <c r="A568" s="71" t="n">
        <v>45923</v>
      </c>
      <c r="B568" t="n">
        <v>1</v>
      </c>
      <c r="D568" t="inlineStr">
        <is>
          <t>PAS</t>
        </is>
      </c>
      <c r="E568" t="inlineStr">
        <is>
          <t>CLF</t>
        </is>
      </c>
      <c r="F568" t="inlineStr">
        <is>
          <t>CLF</t>
        </is>
      </c>
      <c r="H568" t="inlineStr">
        <is>
          <t>MT_CTA. AHORRO</t>
        </is>
      </c>
      <c r="I568" t="inlineStr">
        <is>
          <t>CTA. AHORRO G.DIF_CORE_CORE</t>
        </is>
      </c>
      <c r="K568" t="n">
        <v>147</v>
      </c>
      <c r="M568" s="71" t="n">
        <v>50374</v>
      </c>
      <c r="N568" s="71" t="n">
        <v>50374</v>
      </c>
      <c r="O568" s="71" t="n">
        <v>50374</v>
      </c>
      <c r="P568" t="n">
        <v>1069.543673780488</v>
      </c>
      <c r="V568" t="n">
        <v>1</v>
      </c>
      <c r="W568" t="inlineStr">
        <is>
          <t>BALANCE TASAS</t>
        </is>
      </c>
      <c r="Y568" t="inlineStr">
        <is>
          <t>BALANCE TASAS</t>
        </is>
      </c>
      <c r="Z568" t="inlineStr">
        <is>
          <t>HTM</t>
        </is>
      </c>
      <c r="AA568" t="n">
        <v>1</v>
      </c>
    </row>
    <row r="569">
      <c r="A569" s="71" t="n">
        <v>45923</v>
      </c>
      <c r="B569" t="n">
        <v>1</v>
      </c>
      <c r="D569" t="inlineStr">
        <is>
          <t>PAS</t>
        </is>
      </c>
      <c r="E569" t="inlineStr">
        <is>
          <t>CLF</t>
        </is>
      </c>
      <c r="F569" t="inlineStr">
        <is>
          <t>CLF</t>
        </is>
      </c>
      <c r="H569" t="inlineStr">
        <is>
          <t>MT_CTA. AHORRO</t>
        </is>
      </c>
      <c r="I569" t="inlineStr">
        <is>
          <t>CTA. AHORRO G.DIF_CORE_CORE</t>
        </is>
      </c>
      <c r="K569" t="n">
        <v>148</v>
      </c>
      <c r="M569" s="71" t="n">
        <v>50405</v>
      </c>
      <c r="N569" s="71" t="n">
        <v>50405</v>
      </c>
      <c r="O569" s="71" t="n">
        <v>50405</v>
      </c>
      <c r="P569" t="n">
        <v>1069.543673780488</v>
      </c>
      <c r="V569" t="n">
        <v>1</v>
      </c>
      <c r="W569" t="inlineStr">
        <is>
          <t>BALANCE TASAS</t>
        </is>
      </c>
      <c r="Y569" t="inlineStr">
        <is>
          <t>BALANCE TASAS</t>
        </is>
      </c>
      <c r="Z569" t="inlineStr">
        <is>
          <t>HTM</t>
        </is>
      </c>
      <c r="AA569" t="n">
        <v>1</v>
      </c>
    </row>
    <row r="570">
      <c r="A570" s="71" t="n">
        <v>45923</v>
      </c>
      <c r="B570" t="n">
        <v>1</v>
      </c>
      <c r="D570" t="inlineStr">
        <is>
          <t>PAS</t>
        </is>
      </c>
      <c r="E570" t="inlineStr">
        <is>
          <t>CLF</t>
        </is>
      </c>
      <c r="F570" t="inlineStr">
        <is>
          <t>CLF</t>
        </is>
      </c>
      <c r="H570" t="inlineStr">
        <is>
          <t>MT_CTA. AHORRO</t>
        </is>
      </c>
      <c r="I570" t="inlineStr">
        <is>
          <t>CTA. AHORRO G.DIF_CORE_CORE</t>
        </is>
      </c>
      <c r="K570" t="n">
        <v>149</v>
      </c>
      <c r="M570" s="71" t="n">
        <v>50436</v>
      </c>
      <c r="N570" s="71" t="n">
        <v>50436</v>
      </c>
      <c r="O570" s="71" t="n">
        <v>50436</v>
      </c>
      <c r="P570" t="n">
        <v>1069.543673780488</v>
      </c>
      <c r="V570" t="n">
        <v>1</v>
      </c>
      <c r="W570" t="inlineStr">
        <is>
          <t>BALANCE TASAS</t>
        </is>
      </c>
      <c r="Y570" t="inlineStr">
        <is>
          <t>BALANCE TASAS</t>
        </is>
      </c>
      <c r="Z570" t="inlineStr">
        <is>
          <t>HTM</t>
        </is>
      </c>
      <c r="AA570" t="n">
        <v>1</v>
      </c>
    </row>
    <row r="571">
      <c r="A571" s="71" t="n">
        <v>45923</v>
      </c>
      <c r="B571" t="n">
        <v>1</v>
      </c>
      <c r="D571" t="inlineStr">
        <is>
          <t>PAS</t>
        </is>
      </c>
      <c r="E571" t="inlineStr">
        <is>
          <t>CLF</t>
        </is>
      </c>
      <c r="F571" t="inlineStr">
        <is>
          <t>CLF</t>
        </is>
      </c>
      <c r="H571" t="inlineStr">
        <is>
          <t>MT_CTA. AHORRO</t>
        </is>
      </c>
      <c r="I571" t="inlineStr">
        <is>
          <t>CTA. AHORRO G.DIF_CORE_CORE</t>
        </is>
      </c>
      <c r="K571" t="n">
        <v>150</v>
      </c>
      <c r="M571" s="71" t="n">
        <v>50464</v>
      </c>
      <c r="N571" s="71" t="n">
        <v>50464</v>
      </c>
      <c r="O571" s="71" t="n">
        <v>50464</v>
      </c>
      <c r="P571" t="n">
        <v>1069.543673780488</v>
      </c>
      <c r="V571" t="n">
        <v>1</v>
      </c>
      <c r="W571" t="inlineStr">
        <is>
          <t>BALANCE TASAS</t>
        </is>
      </c>
      <c r="Y571" t="inlineStr">
        <is>
          <t>BALANCE TASAS</t>
        </is>
      </c>
      <c r="Z571" t="inlineStr">
        <is>
          <t>HTM</t>
        </is>
      </c>
      <c r="AA571" t="n">
        <v>1</v>
      </c>
    </row>
    <row r="572">
      <c r="A572" s="71" t="n">
        <v>45923</v>
      </c>
      <c r="B572" t="n">
        <v>1</v>
      </c>
      <c r="D572" t="inlineStr">
        <is>
          <t>PAS</t>
        </is>
      </c>
      <c r="E572" t="inlineStr">
        <is>
          <t>CLF</t>
        </is>
      </c>
      <c r="F572" t="inlineStr">
        <is>
          <t>CLF</t>
        </is>
      </c>
      <c r="H572" t="inlineStr">
        <is>
          <t>MT_CTA. AHORRO</t>
        </is>
      </c>
      <c r="I572" t="inlineStr">
        <is>
          <t>CTA. AHORRO G.DIF_CORE_CORE</t>
        </is>
      </c>
      <c r="K572" t="n">
        <v>151</v>
      </c>
      <c r="M572" s="71" t="n">
        <v>50495</v>
      </c>
      <c r="N572" s="71" t="n">
        <v>50495</v>
      </c>
      <c r="O572" s="71" t="n">
        <v>50495</v>
      </c>
      <c r="P572" t="n">
        <v>1069.543673780488</v>
      </c>
      <c r="V572" t="n">
        <v>1</v>
      </c>
      <c r="W572" t="inlineStr">
        <is>
          <t>BALANCE TASAS</t>
        </is>
      </c>
      <c r="Y572" t="inlineStr">
        <is>
          <t>BALANCE TASAS</t>
        </is>
      </c>
      <c r="Z572" t="inlineStr">
        <is>
          <t>HTM</t>
        </is>
      </c>
      <c r="AA572" t="n">
        <v>1</v>
      </c>
    </row>
    <row r="573">
      <c r="A573" s="71" t="n">
        <v>45923</v>
      </c>
      <c r="B573" t="n">
        <v>1</v>
      </c>
      <c r="D573" t="inlineStr">
        <is>
          <t>PAS</t>
        </is>
      </c>
      <c r="E573" t="inlineStr">
        <is>
          <t>CLF</t>
        </is>
      </c>
      <c r="F573" t="inlineStr">
        <is>
          <t>CLF</t>
        </is>
      </c>
      <c r="H573" t="inlineStr">
        <is>
          <t>MT_CTA. AHORRO</t>
        </is>
      </c>
      <c r="I573" t="inlineStr">
        <is>
          <t>CTA. AHORRO G.DIF_CORE_CORE</t>
        </is>
      </c>
      <c r="K573" t="n">
        <v>152</v>
      </c>
      <c r="M573" s="71" t="n">
        <v>50525</v>
      </c>
      <c r="N573" s="71" t="n">
        <v>50525</v>
      </c>
      <c r="O573" s="71" t="n">
        <v>50525</v>
      </c>
      <c r="P573" t="n">
        <v>1069.543673780488</v>
      </c>
      <c r="V573" t="n">
        <v>1</v>
      </c>
      <c r="W573" t="inlineStr">
        <is>
          <t>BALANCE TASAS</t>
        </is>
      </c>
      <c r="Y573" t="inlineStr">
        <is>
          <t>BALANCE TASAS</t>
        </is>
      </c>
      <c r="Z573" t="inlineStr">
        <is>
          <t>HTM</t>
        </is>
      </c>
      <c r="AA573" t="n">
        <v>1</v>
      </c>
    </row>
    <row r="574">
      <c r="A574" s="71" t="n">
        <v>45923</v>
      </c>
      <c r="B574" t="n">
        <v>1</v>
      </c>
      <c r="D574" t="inlineStr">
        <is>
          <t>PAS</t>
        </is>
      </c>
      <c r="E574" t="inlineStr">
        <is>
          <t>CLF</t>
        </is>
      </c>
      <c r="F574" t="inlineStr">
        <is>
          <t>CLF</t>
        </is>
      </c>
      <c r="H574" t="inlineStr">
        <is>
          <t>MT_CTA. AHORRO</t>
        </is>
      </c>
      <c r="I574" t="inlineStr">
        <is>
          <t>CTA. AHORRO G.DIF_CORE_CORE</t>
        </is>
      </c>
      <c r="K574" t="n">
        <v>153</v>
      </c>
      <c r="M574" s="71" t="n">
        <v>50556</v>
      </c>
      <c r="N574" s="71" t="n">
        <v>50556</v>
      </c>
      <c r="O574" s="71" t="n">
        <v>50556</v>
      </c>
      <c r="P574" t="n">
        <v>1069.543673780488</v>
      </c>
      <c r="V574" t="n">
        <v>1</v>
      </c>
      <c r="W574" t="inlineStr">
        <is>
          <t>BALANCE TASAS</t>
        </is>
      </c>
      <c r="Y574" t="inlineStr">
        <is>
          <t>BALANCE TASAS</t>
        </is>
      </c>
      <c r="Z574" t="inlineStr">
        <is>
          <t>HTM</t>
        </is>
      </c>
      <c r="AA574" t="n">
        <v>1</v>
      </c>
    </row>
    <row r="575">
      <c r="A575" s="71" t="n">
        <v>45923</v>
      </c>
      <c r="B575" t="n">
        <v>1</v>
      </c>
      <c r="D575" t="inlineStr">
        <is>
          <t>PAS</t>
        </is>
      </c>
      <c r="E575" t="inlineStr">
        <is>
          <t>CLF</t>
        </is>
      </c>
      <c r="F575" t="inlineStr">
        <is>
          <t>CLF</t>
        </is>
      </c>
      <c r="H575" t="inlineStr">
        <is>
          <t>MT_CTA. AHORRO</t>
        </is>
      </c>
      <c r="I575" t="inlineStr">
        <is>
          <t>CTA. AHORRO G.DIF_CORE_CORE</t>
        </is>
      </c>
      <c r="K575" t="n">
        <v>154</v>
      </c>
      <c r="M575" s="71" t="n">
        <v>50586</v>
      </c>
      <c r="N575" s="71" t="n">
        <v>50586</v>
      </c>
      <c r="O575" s="71" t="n">
        <v>50586</v>
      </c>
      <c r="P575" t="n">
        <v>1069.543673780488</v>
      </c>
      <c r="V575" t="n">
        <v>1</v>
      </c>
      <c r="W575" t="inlineStr">
        <is>
          <t>BALANCE TASAS</t>
        </is>
      </c>
      <c r="Y575" t="inlineStr">
        <is>
          <t>BALANCE TASAS</t>
        </is>
      </c>
      <c r="Z575" t="inlineStr">
        <is>
          <t>HTM</t>
        </is>
      </c>
      <c r="AA575" t="n">
        <v>1</v>
      </c>
    </row>
    <row r="576">
      <c r="A576" s="71" t="n">
        <v>45923</v>
      </c>
      <c r="B576" t="n">
        <v>1</v>
      </c>
      <c r="D576" t="inlineStr">
        <is>
          <t>PAS</t>
        </is>
      </c>
      <c r="E576" t="inlineStr">
        <is>
          <t>CLF</t>
        </is>
      </c>
      <c r="F576" t="inlineStr">
        <is>
          <t>CLF</t>
        </is>
      </c>
      <c r="H576" t="inlineStr">
        <is>
          <t>MT_CTA. AHORRO</t>
        </is>
      </c>
      <c r="I576" t="inlineStr">
        <is>
          <t>CTA. AHORRO G.DIF_CORE_CORE</t>
        </is>
      </c>
      <c r="K576" t="n">
        <v>155</v>
      </c>
      <c r="M576" s="71" t="n">
        <v>50617</v>
      </c>
      <c r="N576" s="71" t="n">
        <v>50617</v>
      </c>
      <c r="O576" s="71" t="n">
        <v>50617</v>
      </c>
      <c r="P576" t="n">
        <v>1069.543673780488</v>
      </c>
      <c r="V576" t="n">
        <v>1</v>
      </c>
      <c r="W576" t="inlineStr">
        <is>
          <t>BALANCE TASAS</t>
        </is>
      </c>
      <c r="Y576" t="inlineStr">
        <is>
          <t>BALANCE TASAS</t>
        </is>
      </c>
      <c r="Z576" t="inlineStr">
        <is>
          <t>HTM</t>
        </is>
      </c>
      <c r="AA576" t="n">
        <v>1</v>
      </c>
    </row>
    <row r="577">
      <c r="A577" s="71" t="n">
        <v>45923</v>
      </c>
      <c r="B577" t="n">
        <v>1</v>
      </c>
      <c r="D577" t="inlineStr">
        <is>
          <t>PAS</t>
        </is>
      </c>
      <c r="E577" t="inlineStr">
        <is>
          <t>CLF</t>
        </is>
      </c>
      <c r="F577" t="inlineStr">
        <is>
          <t>CLF</t>
        </is>
      </c>
      <c r="H577" t="inlineStr">
        <is>
          <t>MT_CTA. AHORRO</t>
        </is>
      </c>
      <c r="I577" t="inlineStr">
        <is>
          <t>CTA. AHORRO G.DIF_CORE_CORE</t>
        </is>
      </c>
      <c r="K577" t="n">
        <v>156</v>
      </c>
      <c r="M577" s="71" t="n">
        <v>50648</v>
      </c>
      <c r="N577" s="71" t="n">
        <v>50648</v>
      </c>
      <c r="O577" s="71" t="n">
        <v>50648</v>
      </c>
      <c r="P577" t="n">
        <v>1069.543673780488</v>
      </c>
      <c r="V577" t="n">
        <v>1</v>
      </c>
      <c r="W577" t="inlineStr">
        <is>
          <t>BALANCE TASAS</t>
        </is>
      </c>
      <c r="Y577" t="inlineStr">
        <is>
          <t>BALANCE TASAS</t>
        </is>
      </c>
      <c r="Z577" t="inlineStr">
        <is>
          <t>HTM</t>
        </is>
      </c>
      <c r="AA577" t="n">
        <v>1</v>
      </c>
    </row>
    <row r="578">
      <c r="A578" s="71" t="n">
        <v>45923</v>
      </c>
      <c r="B578" t="n">
        <v>1</v>
      </c>
      <c r="D578" t="inlineStr">
        <is>
          <t>PAS</t>
        </is>
      </c>
      <c r="E578" t="inlineStr">
        <is>
          <t>CLF</t>
        </is>
      </c>
      <c r="F578" t="inlineStr">
        <is>
          <t>CLF</t>
        </is>
      </c>
      <c r="H578" t="inlineStr">
        <is>
          <t>MT_CTA. AHORRO</t>
        </is>
      </c>
      <c r="I578" t="inlineStr">
        <is>
          <t>CTA. AHORRO G.DIF_CORE_CORE</t>
        </is>
      </c>
      <c r="K578" t="n">
        <v>157</v>
      </c>
      <c r="M578" s="71" t="n">
        <v>50678</v>
      </c>
      <c r="N578" s="71" t="n">
        <v>50678</v>
      </c>
      <c r="O578" s="71" t="n">
        <v>50678</v>
      </c>
      <c r="P578" t="n">
        <v>1069.543673780488</v>
      </c>
      <c r="V578" t="n">
        <v>1</v>
      </c>
      <c r="W578" t="inlineStr">
        <is>
          <t>BALANCE TASAS</t>
        </is>
      </c>
      <c r="Y578" t="inlineStr">
        <is>
          <t>BALANCE TASAS</t>
        </is>
      </c>
      <c r="Z578" t="inlineStr">
        <is>
          <t>HTM</t>
        </is>
      </c>
      <c r="AA578" t="n">
        <v>1</v>
      </c>
    </row>
    <row r="579">
      <c r="A579" s="71" t="n">
        <v>45923</v>
      </c>
      <c r="B579" t="n">
        <v>1</v>
      </c>
      <c r="D579" t="inlineStr">
        <is>
          <t>PAS</t>
        </is>
      </c>
      <c r="E579" t="inlineStr">
        <is>
          <t>CLF</t>
        </is>
      </c>
      <c r="F579" t="inlineStr">
        <is>
          <t>CLF</t>
        </is>
      </c>
      <c r="H579" t="inlineStr">
        <is>
          <t>MT_CTA. AHORRO</t>
        </is>
      </c>
      <c r="I579" t="inlineStr">
        <is>
          <t>CTA. AHORRO G.DIF_CORE_CORE</t>
        </is>
      </c>
      <c r="K579" t="n">
        <v>158</v>
      </c>
      <c r="M579" s="71" t="n">
        <v>50709</v>
      </c>
      <c r="N579" s="71" t="n">
        <v>50709</v>
      </c>
      <c r="O579" s="71" t="n">
        <v>50709</v>
      </c>
      <c r="P579" t="n">
        <v>1069.543673780488</v>
      </c>
      <c r="V579" t="n">
        <v>1</v>
      </c>
      <c r="W579" t="inlineStr">
        <is>
          <t>BALANCE TASAS</t>
        </is>
      </c>
      <c r="Y579" t="inlineStr">
        <is>
          <t>BALANCE TASAS</t>
        </is>
      </c>
      <c r="Z579" t="inlineStr">
        <is>
          <t>HTM</t>
        </is>
      </c>
      <c r="AA579" t="n">
        <v>1</v>
      </c>
    </row>
    <row r="580">
      <c r="A580" s="71" t="n">
        <v>45923</v>
      </c>
      <c r="B580" t="n">
        <v>1</v>
      </c>
      <c r="D580" t="inlineStr">
        <is>
          <t>PAS</t>
        </is>
      </c>
      <c r="E580" t="inlineStr">
        <is>
          <t>CLF</t>
        </is>
      </c>
      <c r="F580" t="inlineStr">
        <is>
          <t>CLF</t>
        </is>
      </c>
      <c r="H580" t="inlineStr">
        <is>
          <t>MT_CTA. AHORRO</t>
        </is>
      </c>
      <c r="I580" t="inlineStr">
        <is>
          <t>CTA. AHORRO G.DIF_CORE_CORE</t>
        </is>
      </c>
      <c r="K580" t="n">
        <v>159</v>
      </c>
      <c r="M580" s="71" t="n">
        <v>50739</v>
      </c>
      <c r="N580" s="71" t="n">
        <v>50739</v>
      </c>
      <c r="O580" s="71" t="n">
        <v>50739</v>
      </c>
      <c r="P580" t="n">
        <v>1069.543673780488</v>
      </c>
      <c r="V580" t="n">
        <v>1</v>
      </c>
      <c r="W580" t="inlineStr">
        <is>
          <t>BALANCE TASAS</t>
        </is>
      </c>
      <c r="Y580" t="inlineStr">
        <is>
          <t>BALANCE TASAS</t>
        </is>
      </c>
      <c r="Z580" t="inlineStr">
        <is>
          <t>HTM</t>
        </is>
      </c>
      <c r="AA580" t="n">
        <v>1</v>
      </c>
    </row>
    <row r="581">
      <c r="A581" s="71" t="n">
        <v>45923</v>
      </c>
      <c r="B581" t="n">
        <v>1</v>
      </c>
      <c r="D581" t="inlineStr">
        <is>
          <t>PAS</t>
        </is>
      </c>
      <c r="E581" t="inlineStr">
        <is>
          <t>CLF</t>
        </is>
      </c>
      <c r="F581" t="inlineStr">
        <is>
          <t>CLF</t>
        </is>
      </c>
      <c r="H581" t="inlineStr">
        <is>
          <t>MT_CTA. AHORRO</t>
        </is>
      </c>
      <c r="I581" t="inlineStr">
        <is>
          <t>CTA. AHORRO G.DIF_CORE_CORE</t>
        </is>
      </c>
      <c r="K581" t="n">
        <v>160</v>
      </c>
      <c r="M581" s="71" t="n">
        <v>50770</v>
      </c>
      <c r="N581" s="71" t="n">
        <v>50770</v>
      </c>
      <c r="O581" s="71" t="n">
        <v>50770</v>
      </c>
      <c r="P581" t="n">
        <v>1069.543673780488</v>
      </c>
      <c r="V581" t="n">
        <v>1</v>
      </c>
      <c r="W581" t="inlineStr">
        <is>
          <t>BALANCE TASAS</t>
        </is>
      </c>
      <c r="Y581" t="inlineStr">
        <is>
          <t>BALANCE TASAS</t>
        </is>
      </c>
      <c r="Z581" t="inlineStr">
        <is>
          <t>HTM</t>
        </is>
      </c>
      <c r="AA581" t="n">
        <v>1</v>
      </c>
    </row>
    <row r="582">
      <c r="A582" s="71" t="n">
        <v>45923</v>
      </c>
      <c r="B582" t="n">
        <v>1</v>
      </c>
      <c r="D582" t="inlineStr">
        <is>
          <t>PAS</t>
        </is>
      </c>
      <c r="E582" t="inlineStr">
        <is>
          <t>CLF</t>
        </is>
      </c>
      <c r="F582" t="inlineStr">
        <is>
          <t>CLF</t>
        </is>
      </c>
      <c r="H582" t="inlineStr">
        <is>
          <t>MT_CTA. AHORRO</t>
        </is>
      </c>
      <c r="I582" t="inlineStr">
        <is>
          <t>CTA. AHORRO G.DIF_CORE_CORE</t>
        </is>
      </c>
      <c r="K582" t="n">
        <v>161</v>
      </c>
      <c r="M582" s="71" t="n">
        <v>50801</v>
      </c>
      <c r="N582" s="71" t="n">
        <v>50801</v>
      </c>
      <c r="O582" s="71" t="n">
        <v>50801</v>
      </c>
      <c r="P582" t="n">
        <v>1069.543673780488</v>
      </c>
      <c r="V582" t="n">
        <v>1</v>
      </c>
      <c r="W582" t="inlineStr">
        <is>
          <t>BALANCE TASAS</t>
        </is>
      </c>
      <c r="Y582" t="inlineStr">
        <is>
          <t>BALANCE TASAS</t>
        </is>
      </c>
      <c r="Z582" t="inlineStr">
        <is>
          <t>HTM</t>
        </is>
      </c>
      <c r="AA582" t="n">
        <v>1</v>
      </c>
    </row>
    <row r="583">
      <c r="A583" s="71" t="n">
        <v>45923</v>
      </c>
      <c r="B583" t="n">
        <v>1</v>
      </c>
      <c r="D583" t="inlineStr">
        <is>
          <t>PAS</t>
        </is>
      </c>
      <c r="E583" t="inlineStr">
        <is>
          <t>CLF</t>
        </is>
      </c>
      <c r="F583" t="inlineStr">
        <is>
          <t>CLF</t>
        </is>
      </c>
      <c r="H583" t="inlineStr">
        <is>
          <t>MT_CTA. AHORRO</t>
        </is>
      </c>
      <c r="I583" t="inlineStr">
        <is>
          <t>CTA. AHORRO G.DIF_CORE_CORE</t>
        </is>
      </c>
      <c r="K583" t="n">
        <v>162</v>
      </c>
      <c r="M583" s="71" t="n">
        <v>50829</v>
      </c>
      <c r="N583" s="71" t="n">
        <v>50829</v>
      </c>
      <c r="O583" s="71" t="n">
        <v>50829</v>
      </c>
      <c r="P583" t="n">
        <v>1069.543673780488</v>
      </c>
      <c r="V583" t="n">
        <v>1</v>
      </c>
      <c r="W583" t="inlineStr">
        <is>
          <t>BALANCE TASAS</t>
        </is>
      </c>
      <c r="Y583" t="inlineStr">
        <is>
          <t>BALANCE TASAS</t>
        </is>
      </c>
      <c r="Z583" t="inlineStr">
        <is>
          <t>HTM</t>
        </is>
      </c>
      <c r="AA583" t="n">
        <v>1</v>
      </c>
    </row>
    <row r="584">
      <c r="A584" s="71" t="n">
        <v>45923</v>
      </c>
      <c r="B584" t="n">
        <v>1</v>
      </c>
      <c r="D584" t="inlineStr">
        <is>
          <t>PAS</t>
        </is>
      </c>
      <c r="E584" t="inlineStr">
        <is>
          <t>CLF</t>
        </is>
      </c>
      <c r="F584" t="inlineStr">
        <is>
          <t>CLF</t>
        </is>
      </c>
      <c r="H584" t="inlineStr">
        <is>
          <t>MT_CTA. AHORRO</t>
        </is>
      </c>
      <c r="I584" t="inlineStr">
        <is>
          <t>CTA. AHORRO G.DIF_CORE_CORE</t>
        </is>
      </c>
      <c r="K584" t="n">
        <v>163</v>
      </c>
      <c r="M584" s="71" t="n">
        <v>50860</v>
      </c>
      <c r="N584" s="71" t="n">
        <v>50860</v>
      </c>
      <c r="O584" s="71" t="n">
        <v>50860</v>
      </c>
      <c r="P584" t="n">
        <v>1069.543673780488</v>
      </c>
      <c r="V584" t="n">
        <v>1</v>
      </c>
      <c r="W584" t="inlineStr">
        <is>
          <t>BALANCE TASAS</t>
        </is>
      </c>
      <c r="Y584" t="inlineStr">
        <is>
          <t>BALANCE TASAS</t>
        </is>
      </c>
      <c r="Z584" t="inlineStr">
        <is>
          <t>HTM</t>
        </is>
      </c>
      <c r="AA584" t="n">
        <v>1</v>
      </c>
    </row>
    <row r="585">
      <c r="A585" s="71" t="n">
        <v>45923</v>
      </c>
      <c r="B585" t="n">
        <v>1</v>
      </c>
      <c r="D585" t="inlineStr">
        <is>
          <t>PAS</t>
        </is>
      </c>
      <c r="E585" t="inlineStr">
        <is>
          <t>CLF</t>
        </is>
      </c>
      <c r="F585" t="inlineStr">
        <is>
          <t>CLF</t>
        </is>
      </c>
      <c r="H585" t="inlineStr">
        <is>
          <t>MT_CTA. AHORRO</t>
        </is>
      </c>
      <c r="I585" t="inlineStr">
        <is>
          <t>CTA. AHORRO G.DIF_CORE_CORE</t>
        </is>
      </c>
      <c r="K585" t="n">
        <v>164</v>
      </c>
      <c r="M585" s="71" t="n">
        <v>50890</v>
      </c>
      <c r="N585" s="71" t="n">
        <v>50890</v>
      </c>
      <c r="O585" s="71" t="n">
        <v>50890</v>
      </c>
      <c r="P585" t="n">
        <v>1069.543673780488</v>
      </c>
      <c r="V585" t="n">
        <v>1</v>
      </c>
      <c r="W585" t="inlineStr">
        <is>
          <t>BALANCE TASAS</t>
        </is>
      </c>
      <c r="Y585" t="inlineStr">
        <is>
          <t>BALANCE TASAS</t>
        </is>
      </c>
      <c r="Z585" t="inlineStr">
        <is>
          <t>HTM</t>
        </is>
      </c>
      <c r="AA585" t="n">
        <v>1</v>
      </c>
    </row>
    <row r="586">
      <c r="A586" s="71" t="n">
        <v>45923</v>
      </c>
      <c r="B586" t="n">
        <v>1</v>
      </c>
      <c r="D586" t="inlineStr">
        <is>
          <t>PAS</t>
        </is>
      </c>
      <c r="E586" t="inlineStr">
        <is>
          <t>CLF</t>
        </is>
      </c>
      <c r="F586" t="inlineStr">
        <is>
          <t>CLF</t>
        </is>
      </c>
      <c r="H586" t="inlineStr">
        <is>
          <t>MT_CTA. AHORRO</t>
        </is>
      </c>
      <c r="I586" t="inlineStr">
        <is>
          <t>CTA. AHORRO G.DIF_CORE_CORE</t>
        </is>
      </c>
      <c r="K586" t="n">
        <v>165</v>
      </c>
      <c r="M586" s="71" t="n">
        <v>50921</v>
      </c>
      <c r="N586" s="71" t="n">
        <v>50921</v>
      </c>
      <c r="O586" s="71" t="n">
        <v>50921</v>
      </c>
      <c r="P586" t="n">
        <v>1069.543673780488</v>
      </c>
      <c r="V586" t="n">
        <v>1</v>
      </c>
      <c r="W586" t="inlineStr">
        <is>
          <t>BALANCE TASAS</t>
        </is>
      </c>
      <c r="Y586" t="inlineStr">
        <is>
          <t>BALANCE TASAS</t>
        </is>
      </c>
      <c r="Z586" t="inlineStr">
        <is>
          <t>HTM</t>
        </is>
      </c>
      <c r="AA586" t="n">
        <v>1</v>
      </c>
    </row>
    <row r="587">
      <c r="A587" s="71" t="n">
        <v>45923</v>
      </c>
      <c r="B587" t="n">
        <v>1</v>
      </c>
      <c r="D587" t="inlineStr">
        <is>
          <t>PAS</t>
        </is>
      </c>
      <c r="E587" t="inlineStr">
        <is>
          <t>CLF</t>
        </is>
      </c>
      <c r="F587" t="inlineStr">
        <is>
          <t>CLF</t>
        </is>
      </c>
      <c r="H587" t="inlineStr">
        <is>
          <t>MT_CTA. AHORRO</t>
        </is>
      </c>
      <c r="I587" t="inlineStr">
        <is>
          <t>CTA. AHORRO G.DIF_CORE_CORE</t>
        </is>
      </c>
      <c r="K587" t="n">
        <v>166</v>
      </c>
      <c r="M587" s="71" t="n">
        <v>50951</v>
      </c>
      <c r="N587" s="71" t="n">
        <v>50951</v>
      </c>
      <c r="O587" s="71" t="n">
        <v>50951</v>
      </c>
      <c r="P587" t="n">
        <v>1069.543673780488</v>
      </c>
      <c r="V587" t="n">
        <v>1</v>
      </c>
      <c r="W587" t="inlineStr">
        <is>
          <t>BALANCE TASAS</t>
        </is>
      </c>
      <c r="Y587" t="inlineStr">
        <is>
          <t>BALANCE TASAS</t>
        </is>
      </c>
      <c r="Z587" t="inlineStr">
        <is>
          <t>HTM</t>
        </is>
      </c>
      <c r="AA587" t="n">
        <v>1</v>
      </c>
    </row>
    <row r="588">
      <c r="A588" s="71" t="n">
        <v>45923</v>
      </c>
      <c r="B588" t="n">
        <v>1</v>
      </c>
      <c r="D588" t="inlineStr">
        <is>
          <t>PAS</t>
        </is>
      </c>
      <c r="E588" t="inlineStr">
        <is>
          <t>CLF</t>
        </is>
      </c>
      <c r="F588" t="inlineStr">
        <is>
          <t>CLF</t>
        </is>
      </c>
      <c r="H588" t="inlineStr">
        <is>
          <t>MT_CTA. AHORRO</t>
        </is>
      </c>
      <c r="I588" t="inlineStr">
        <is>
          <t>CTA. AHORRO G.DIF_CORE_CORE</t>
        </is>
      </c>
      <c r="K588" t="n">
        <v>167</v>
      </c>
      <c r="M588" s="71" t="n">
        <v>50982</v>
      </c>
      <c r="N588" s="71" t="n">
        <v>50982</v>
      </c>
      <c r="O588" s="71" t="n">
        <v>50982</v>
      </c>
      <c r="P588" t="n">
        <v>1069.543673780488</v>
      </c>
      <c r="V588" t="n">
        <v>1</v>
      </c>
      <c r="W588" t="inlineStr">
        <is>
          <t>BALANCE TASAS</t>
        </is>
      </c>
      <c r="Y588" t="inlineStr">
        <is>
          <t>BALANCE TASAS</t>
        </is>
      </c>
      <c r="Z588" t="inlineStr">
        <is>
          <t>HTM</t>
        </is>
      </c>
      <c r="AA588" t="n">
        <v>1</v>
      </c>
    </row>
    <row r="589">
      <c r="A589" s="71" t="n">
        <v>45923</v>
      </c>
      <c r="B589" t="n">
        <v>1</v>
      </c>
      <c r="D589" t="inlineStr">
        <is>
          <t>PAS</t>
        </is>
      </c>
      <c r="E589" t="inlineStr">
        <is>
          <t>CLF</t>
        </is>
      </c>
      <c r="F589" t="inlineStr">
        <is>
          <t>CLF</t>
        </is>
      </c>
      <c r="H589" t="inlineStr">
        <is>
          <t>MT_CTA. AHORRO</t>
        </is>
      </c>
      <c r="I589" t="inlineStr">
        <is>
          <t>CTA. AHORRO G.DIF_CORE_CORE</t>
        </is>
      </c>
      <c r="K589" t="n">
        <v>168</v>
      </c>
      <c r="M589" s="71" t="n">
        <v>51013</v>
      </c>
      <c r="N589" s="71" t="n">
        <v>51013</v>
      </c>
      <c r="O589" s="71" t="n">
        <v>51013</v>
      </c>
      <c r="P589" t="n">
        <v>1069.543673780488</v>
      </c>
      <c r="V589" t="n">
        <v>1</v>
      </c>
      <c r="W589" t="inlineStr">
        <is>
          <t>BALANCE TASAS</t>
        </is>
      </c>
      <c r="Y589" t="inlineStr">
        <is>
          <t>BALANCE TASAS</t>
        </is>
      </c>
      <c r="Z589" t="inlineStr">
        <is>
          <t>HTM</t>
        </is>
      </c>
      <c r="AA589" t="n">
        <v>1</v>
      </c>
    </row>
    <row r="590">
      <c r="A590" s="71" t="n">
        <v>45923</v>
      </c>
      <c r="B590" t="n">
        <v>1</v>
      </c>
      <c r="D590" t="inlineStr">
        <is>
          <t>PAS</t>
        </is>
      </c>
      <c r="E590" t="inlineStr">
        <is>
          <t>CLF</t>
        </is>
      </c>
      <c r="F590" t="inlineStr">
        <is>
          <t>CLF</t>
        </is>
      </c>
      <c r="H590" t="inlineStr">
        <is>
          <t>MT_CTA. AHORRO</t>
        </is>
      </c>
      <c r="I590" t="inlineStr">
        <is>
          <t>CTA. AHORRO G.DIF_CORE_CORE</t>
        </is>
      </c>
      <c r="K590" t="n">
        <v>169</v>
      </c>
      <c r="M590" s="71" t="n">
        <v>51043</v>
      </c>
      <c r="N590" s="71" t="n">
        <v>51043</v>
      </c>
      <c r="O590" s="71" t="n">
        <v>51043</v>
      </c>
      <c r="P590" t="n">
        <v>1069.543673780488</v>
      </c>
      <c r="V590" t="n">
        <v>1</v>
      </c>
      <c r="W590" t="inlineStr">
        <is>
          <t>BALANCE TASAS</t>
        </is>
      </c>
      <c r="Y590" t="inlineStr">
        <is>
          <t>BALANCE TASAS</t>
        </is>
      </c>
      <c r="Z590" t="inlineStr">
        <is>
          <t>HTM</t>
        </is>
      </c>
      <c r="AA590" t="n">
        <v>1</v>
      </c>
    </row>
    <row r="591">
      <c r="A591" s="71" t="n">
        <v>45923</v>
      </c>
      <c r="B591" t="n">
        <v>1</v>
      </c>
      <c r="D591" t="inlineStr">
        <is>
          <t>PAS</t>
        </is>
      </c>
      <c r="E591" t="inlineStr">
        <is>
          <t>CLF</t>
        </is>
      </c>
      <c r="F591" t="inlineStr">
        <is>
          <t>CLF</t>
        </is>
      </c>
      <c r="H591" t="inlineStr">
        <is>
          <t>MT_CTA. AHORRO</t>
        </is>
      </c>
      <c r="I591" t="inlineStr">
        <is>
          <t>CTA. AHORRO G.DIF_CORE_CORE</t>
        </is>
      </c>
      <c r="K591" t="n">
        <v>170</v>
      </c>
      <c r="M591" s="71" t="n">
        <v>51074</v>
      </c>
      <c r="N591" s="71" t="n">
        <v>51074</v>
      </c>
      <c r="O591" s="71" t="n">
        <v>51074</v>
      </c>
      <c r="P591" t="n">
        <v>1069.543673780488</v>
      </c>
      <c r="V591" t="n">
        <v>1</v>
      </c>
      <c r="W591" t="inlineStr">
        <is>
          <t>BALANCE TASAS</t>
        </is>
      </c>
      <c r="Y591" t="inlineStr">
        <is>
          <t>BALANCE TASAS</t>
        </is>
      </c>
      <c r="Z591" t="inlineStr">
        <is>
          <t>HTM</t>
        </is>
      </c>
      <c r="AA591" t="n">
        <v>1</v>
      </c>
    </row>
    <row r="592">
      <c r="A592" s="71" t="n">
        <v>45923</v>
      </c>
      <c r="B592" t="n">
        <v>1</v>
      </c>
      <c r="D592" t="inlineStr">
        <is>
          <t>PAS</t>
        </is>
      </c>
      <c r="E592" t="inlineStr">
        <is>
          <t>CLF</t>
        </is>
      </c>
      <c r="F592" t="inlineStr">
        <is>
          <t>CLF</t>
        </is>
      </c>
      <c r="H592" t="inlineStr">
        <is>
          <t>MT_CTA. AHORRO</t>
        </is>
      </c>
      <c r="I592" t="inlineStr">
        <is>
          <t>CTA. AHORRO G.DIF_CORE_CORE</t>
        </is>
      </c>
      <c r="K592" t="n">
        <v>171</v>
      </c>
      <c r="M592" s="71" t="n">
        <v>51104</v>
      </c>
      <c r="N592" s="71" t="n">
        <v>51104</v>
      </c>
      <c r="O592" s="71" t="n">
        <v>51104</v>
      </c>
      <c r="P592" t="n">
        <v>1069.543673780488</v>
      </c>
      <c r="V592" t="n">
        <v>1</v>
      </c>
      <c r="W592" t="inlineStr">
        <is>
          <t>BALANCE TASAS</t>
        </is>
      </c>
      <c r="Y592" t="inlineStr">
        <is>
          <t>BALANCE TASAS</t>
        </is>
      </c>
      <c r="Z592" t="inlineStr">
        <is>
          <t>HTM</t>
        </is>
      </c>
      <c r="AA592" t="n">
        <v>1</v>
      </c>
    </row>
    <row r="593">
      <c r="A593" s="71" t="n">
        <v>45923</v>
      </c>
      <c r="B593" t="n">
        <v>1</v>
      </c>
      <c r="D593" t="inlineStr">
        <is>
          <t>PAS</t>
        </is>
      </c>
      <c r="E593" t="inlineStr">
        <is>
          <t>CLF</t>
        </is>
      </c>
      <c r="F593" t="inlineStr">
        <is>
          <t>CLF</t>
        </is>
      </c>
      <c r="H593" t="inlineStr">
        <is>
          <t>MT_CTA. AHORRO</t>
        </is>
      </c>
      <c r="I593" t="inlineStr">
        <is>
          <t>CTA. AHORRO G.DIF_CORE_CORE</t>
        </is>
      </c>
      <c r="K593" t="n">
        <v>172</v>
      </c>
      <c r="M593" s="71" t="n">
        <v>51135</v>
      </c>
      <c r="N593" s="71" t="n">
        <v>51135</v>
      </c>
      <c r="O593" s="71" t="n">
        <v>51135</v>
      </c>
      <c r="P593" t="n">
        <v>1069.543673780488</v>
      </c>
      <c r="V593" t="n">
        <v>1</v>
      </c>
      <c r="W593" t="inlineStr">
        <is>
          <t>BALANCE TASAS</t>
        </is>
      </c>
      <c r="Y593" t="inlineStr">
        <is>
          <t>BALANCE TASAS</t>
        </is>
      </c>
      <c r="Z593" t="inlineStr">
        <is>
          <t>HTM</t>
        </is>
      </c>
      <c r="AA593" t="n">
        <v>1</v>
      </c>
    </row>
    <row r="594">
      <c r="A594" s="71" t="n">
        <v>45923</v>
      </c>
      <c r="B594" t="n">
        <v>1</v>
      </c>
      <c r="D594" t="inlineStr">
        <is>
          <t>PAS</t>
        </is>
      </c>
      <c r="E594" t="inlineStr">
        <is>
          <t>CLF</t>
        </is>
      </c>
      <c r="F594" t="inlineStr">
        <is>
          <t>CLF</t>
        </is>
      </c>
      <c r="H594" t="inlineStr">
        <is>
          <t>MT_CTA. AHORRO</t>
        </is>
      </c>
      <c r="I594" t="inlineStr">
        <is>
          <t>CTA. AHORRO G.DIF_CORE_CORE</t>
        </is>
      </c>
      <c r="K594" t="n">
        <v>173</v>
      </c>
      <c r="M594" s="71" t="n">
        <v>51166</v>
      </c>
      <c r="N594" s="71" t="n">
        <v>51166</v>
      </c>
      <c r="O594" s="71" t="n">
        <v>51166</v>
      </c>
      <c r="P594" t="n">
        <v>1069.543673780488</v>
      </c>
      <c r="V594" t="n">
        <v>1</v>
      </c>
      <c r="W594" t="inlineStr">
        <is>
          <t>BALANCE TASAS</t>
        </is>
      </c>
      <c r="Y594" t="inlineStr">
        <is>
          <t>BALANCE TASAS</t>
        </is>
      </c>
      <c r="Z594" t="inlineStr">
        <is>
          <t>HTM</t>
        </is>
      </c>
      <c r="AA594" t="n">
        <v>1</v>
      </c>
    </row>
    <row r="595">
      <c r="A595" s="71" t="n">
        <v>45923</v>
      </c>
      <c r="B595" t="n">
        <v>1</v>
      </c>
      <c r="D595" t="inlineStr">
        <is>
          <t>PAS</t>
        </is>
      </c>
      <c r="E595" t="inlineStr">
        <is>
          <t>CLF</t>
        </is>
      </c>
      <c r="F595" t="inlineStr">
        <is>
          <t>CLF</t>
        </is>
      </c>
      <c r="H595" t="inlineStr">
        <is>
          <t>MT_CTA. AHORRO</t>
        </is>
      </c>
      <c r="I595" t="inlineStr">
        <is>
          <t>CTA. AHORRO G.DIF_CORE_CORE</t>
        </is>
      </c>
      <c r="K595" t="n">
        <v>174</v>
      </c>
      <c r="M595" s="71" t="n">
        <v>51195</v>
      </c>
      <c r="N595" s="71" t="n">
        <v>51195</v>
      </c>
      <c r="O595" s="71" t="n">
        <v>51195</v>
      </c>
      <c r="P595" t="n">
        <v>1069.543673780488</v>
      </c>
      <c r="V595" t="n">
        <v>1</v>
      </c>
      <c r="W595" t="inlineStr">
        <is>
          <t>BALANCE TASAS</t>
        </is>
      </c>
      <c r="Y595" t="inlineStr">
        <is>
          <t>BALANCE TASAS</t>
        </is>
      </c>
      <c r="Z595" t="inlineStr">
        <is>
          <t>HTM</t>
        </is>
      </c>
      <c r="AA595" t="n">
        <v>1</v>
      </c>
    </row>
    <row r="596">
      <c r="A596" s="71" t="n">
        <v>45923</v>
      </c>
      <c r="B596" t="n">
        <v>1</v>
      </c>
      <c r="D596" t="inlineStr">
        <is>
          <t>PAS</t>
        </is>
      </c>
      <c r="E596" t="inlineStr">
        <is>
          <t>CLF</t>
        </is>
      </c>
      <c r="F596" t="inlineStr">
        <is>
          <t>CLF</t>
        </is>
      </c>
      <c r="H596" t="inlineStr">
        <is>
          <t>MT_CTA. AHORRO</t>
        </is>
      </c>
      <c r="I596" t="inlineStr">
        <is>
          <t>CTA. AHORRO G.DIF_CORE_CORE</t>
        </is>
      </c>
      <c r="K596" t="n">
        <v>175</v>
      </c>
      <c r="M596" s="71" t="n">
        <v>51226</v>
      </c>
      <c r="N596" s="71" t="n">
        <v>51226</v>
      </c>
      <c r="O596" s="71" t="n">
        <v>51226</v>
      </c>
      <c r="P596" t="n">
        <v>1069.543673780488</v>
      </c>
      <c r="V596" t="n">
        <v>1</v>
      </c>
      <c r="W596" t="inlineStr">
        <is>
          <t>BALANCE TASAS</t>
        </is>
      </c>
      <c r="Y596" t="inlineStr">
        <is>
          <t>BALANCE TASAS</t>
        </is>
      </c>
      <c r="Z596" t="inlineStr">
        <is>
          <t>HTM</t>
        </is>
      </c>
      <c r="AA596" t="n">
        <v>1</v>
      </c>
    </row>
    <row r="597">
      <c r="A597" s="71" t="n">
        <v>45923</v>
      </c>
      <c r="B597" t="n">
        <v>1</v>
      </c>
      <c r="D597" t="inlineStr">
        <is>
          <t>PAS</t>
        </is>
      </c>
      <c r="E597" t="inlineStr">
        <is>
          <t>CLF</t>
        </is>
      </c>
      <c r="F597" t="inlineStr">
        <is>
          <t>CLF</t>
        </is>
      </c>
      <c r="H597" t="inlineStr">
        <is>
          <t>MT_CTA. AHORRO</t>
        </is>
      </c>
      <c r="I597" t="inlineStr">
        <is>
          <t>CTA. AHORRO G.DIF_CORE_CORE</t>
        </is>
      </c>
      <c r="K597" t="n">
        <v>176</v>
      </c>
      <c r="M597" s="71" t="n">
        <v>51256</v>
      </c>
      <c r="N597" s="71" t="n">
        <v>51256</v>
      </c>
      <c r="O597" s="71" t="n">
        <v>51256</v>
      </c>
      <c r="P597" t="n">
        <v>1069.543673780488</v>
      </c>
      <c r="V597" t="n">
        <v>1</v>
      </c>
      <c r="W597" t="inlineStr">
        <is>
          <t>BALANCE TASAS</t>
        </is>
      </c>
      <c r="Y597" t="inlineStr">
        <is>
          <t>BALANCE TASAS</t>
        </is>
      </c>
      <c r="Z597" t="inlineStr">
        <is>
          <t>HTM</t>
        </is>
      </c>
      <c r="AA597" t="n">
        <v>1</v>
      </c>
    </row>
    <row r="598">
      <c r="A598" s="71" t="n">
        <v>45923</v>
      </c>
      <c r="B598" t="n">
        <v>1</v>
      </c>
      <c r="D598" t="inlineStr">
        <is>
          <t>PAS</t>
        </is>
      </c>
      <c r="E598" t="inlineStr">
        <is>
          <t>CLF</t>
        </is>
      </c>
      <c r="F598" t="inlineStr">
        <is>
          <t>CLF</t>
        </is>
      </c>
      <c r="H598" t="inlineStr">
        <is>
          <t>MT_CTA. AHORRO</t>
        </is>
      </c>
      <c r="I598" t="inlineStr">
        <is>
          <t>CTA. AHORRO G.DIF_CORE_CORE</t>
        </is>
      </c>
      <c r="K598" t="n">
        <v>177</v>
      </c>
      <c r="M598" s="71" t="n">
        <v>51287</v>
      </c>
      <c r="N598" s="71" t="n">
        <v>51287</v>
      </c>
      <c r="O598" s="71" t="n">
        <v>51287</v>
      </c>
      <c r="P598" t="n">
        <v>1069.543673780488</v>
      </c>
      <c r="V598" t="n">
        <v>1</v>
      </c>
      <c r="W598" t="inlineStr">
        <is>
          <t>BALANCE TASAS</t>
        </is>
      </c>
      <c r="Y598" t="inlineStr">
        <is>
          <t>BALANCE TASAS</t>
        </is>
      </c>
      <c r="Z598" t="inlineStr">
        <is>
          <t>HTM</t>
        </is>
      </c>
      <c r="AA598" t="n">
        <v>1</v>
      </c>
    </row>
    <row r="599">
      <c r="A599" s="71" t="n">
        <v>45923</v>
      </c>
      <c r="B599" t="n">
        <v>1</v>
      </c>
      <c r="D599" t="inlineStr">
        <is>
          <t>PAS</t>
        </is>
      </c>
      <c r="E599" t="inlineStr">
        <is>
          <t>CLF</t>
        </is>
      </c>
      <c r="F599" t="inlineStr">
        <is>
          <t>CLF</t>
        </is>
      </c>
      <c r="H599" t="inlineStr">
        <is>
          <t>MT_CTA. AHORRO</t>
        </is>
      </c>
      <c r="I599" t="inlineStr">
        <is>
          <t>CTA. AHORRO G.DIF_CORE_CORE</t>
        </is>
      </c>
      <c r="K599" t="n">
        <v>178</v>
      </c>
      <c r="M599" s="71" t="n">
        <v>51317</v>
      </c>
      <c r="N599" s="71" t="n">
        <v>51317</v>
      </c>
      <c r="O599" s="71" t="n">
        <v>51317</v>
      </c>
      <c r="P599" t="n">
        <v>1069.543673780488</v>
      </c>
      <c r="V599" t="n">
        <v>1</v>
      </c>
      <c r="W599" t="inlineStr">
        <is>
          <t>BALANCE TASAS</t>
        </is>
      </c>
      <c r="Y599" t="inlineStr">
        <is>
          <t>BALANCE TASAS</t>
        </is>
      </c>
      <c r="Z599" t="inlineStr">
        <is>
          <t>HTM</t>
        </is>
      </c>
      <c r="AA599" t="n">
        <v>1</v>
      </c>
    </row>
    <row r="600">
      <c r="A600" s="71" t="n">
        <v>45923</v>
      </c>
      <c r="B600" t="n">
        <v>1</v>
      </c>
      <c r="D600" t="inlineStr">
        <is>
          <t>PAS</t>
        </is>
      </c>
      <c r="E600" t="inlineStr">
        <is>
          <t>CLF</t>
        </is>
      </c>
      <c r="F600" t="inlineStr">
        <is>
          <t>CLF</t>
        </is>
      </c>
      <c r="H600" t="inlineStr">
        <is>
          <t>MT_CTA. AHORRO</t>
        </is>
      </c>
      <c r="I600" t="inlineStr">
        <is>
          <t>CTA. AHORRO G.DIF_CORE_CORE</t>
        </is>
      </c>
      <c r="K600" t="n">
        <v>179</v>
      </c>
      <c r="M600" s="71" t="n">
        <v>51348</v>
      </c>
      <c r="N600" s="71" t="n">
        <v>51348</v>
      </c>
      <c r="O600" s="71" t="n">
        <v>51348</v>
      </c>
      <c r="P600" t="n">
        <v>1069.543673780488</v>
      </c>
      <c r="V600" t="n">
        <v>1</v>
      </c>
      <c r="W600" t="inlineStr">
        <is>
          <t>BALANCE TASAS</t>
        </is>
      </c>
      <c r="Y600" t="inlineStr">
        <is>
          <t>BALANCE TASAS</t>
        </is>
      </c>
      <c r="Z600" t="inlineStr">
        <is>
          <t>HTM</t>
        </is>
      </c>
      <c r="AA600" t="n">
        <v>1</v>
      </c>
    </row>
    <row r="601">
      <c r="A601" s="71" t="n">
        <v>45923</v>
      </c>
      <c r="B601" t="n">
        <v>1</v>
      </c>
      <c r="D601" t="inlineStr">
        <is>
          <t>PAS</t>
        </is>
      </c>
      <c r="E601" t="inlineStr">
        <is>
          <t>CLF</t>
        </is>
      </c>
      <c r="F601" t="inlineStr">
        <is>
          <t>CLF</t>
        </is>
      </c>
      <c r="H601" t="inlineStr">
        <is>
          <t>MT_CTA. AHORRO</t>
        </is>
      </c>
      <c r="I601" t="inlineStr">
        <is>
          <t>CTA. AHORRO G.DIF_CORE_CORE</t>
        </is>
      </c>
      <c r="K601" t="n">
        <v>180</v>
      </c>
      <c r="M601" s="71" t="n">
        <v>51379</v>
      </c>
      <c r="N601" s="71" t="n">
        <v>51379</v>
      </c>
      <c r="O601" s="71" t="n">
        <v>51379</v>
      </c>
      <c r="P601" t="n">
        <v>1069.543673780488</v>
      </c>
      <c r="V601" t="n">
        <v>1</v>
      </c>
      <c r="W601" t="inlineStr">
        <is>
          <t>BALANCE TASAS</t>
        </is>
      </c>
      <c r="Y601" t="inlineStr">
        <is>
          <t>BALANCE TASAS</t>
        </is>
      </c>
      <c r="Z601" t="inlineStr">
        <is>
          <t>HTM</t>
        </is>
      </c>
      <c r="AA601" t="n">
        <v>1</v>
      </c>
    </row>
    <row r="602">
      <c r="A602" s="71" t="n">
        <v>45923</v>
      </c>
      <c r="B602" t="n">
        <v>1</v>
      </c>
      <c r="D602" t="inlineStr">
        <is>
          <t>PAS</t>
        </is>
      </c>
      <c r="E602" t="inlineStr">
        <is>
          <t>CLF</t>
        </is>
      </c>
      <c r="F602" t="inlineStr">
        <is>
          <t>CLF</t>
        </is>
      </c>
      <c r="H602" t="inlineStr">
        <is>
          <t>MT_CTA. AHORRO</t>
        </is>
      </c>
      <c r="I602" t="inlineStr">
        <is>
          <t>CTA. AHORRO G.DIF_CORE_CORE</t>
        </is>
      </c>
      <c r="K602" t="n">
        <v>181</v>
      </c>
      <c r="M602" s="71" t="n">
        <v>51409</v>
      </c>
      <c r="N602" s="71" t="n">
        <v>51409</v>
      </c>
      <c r="O602" s="71" t="n">
        <v>51409</v>
      </c>
      <c r="P602" t="n">
        <v>1069.543673780488</v>
      </c>
      <c r="V602" t="n">
        <v>1</v>
      </c>
      <c r="W602" t="inlineStr">
        <is>
          <t>BALANCE TASAS</t>
        </is>
      </c>
      <c r="Y602" t="inlineStr">
        <is>
          <t>BALANCE TASAS</t>
        </is>
      </c>
      <c r="Z602" t="inlineStr">
        <is>
          <t>HTM</t>
        </is>
      </c>
      <c r="AA602" t="n">
        <v>1</v>
      </c>
    </row>
    <row r="603">
      <c r="A603" s="71" t="n">
        <v>45923</v>
      </c>
      <c r="B603" t="n">
        <v>1</v>
      </c>
      <c r="D603" t="inlineStr">
        <is>
          <t>PAS</t>
        </is>
      </c>
      <c r="E603" t="inlineStr">
        <is>
          <t>CLF</t>
        </is>
      </c>
      <c r="F603" t="inlineStr">
        <is>
          <t>CLF</t>
        </is>
      </c>
      <c r="H603" t="inlineStr">
        <is>
          <t>MT_CTA. AHORRO</t>
        </is>
      </c>
      <c r="I603" t="inlineStr">
        <is>
          <t>CTA. AHORRO G.DIF_CORE_CORE</t>
        </is>
      </c>
      <c r="K603" t="n">
        <v>182</v>
      </c>
      <c r="M603" s="71" t="n">
        <v>51440</v>
      </c>
      <c r="N603" s="71" t="n">
        <v>51440</v>
      </c>
      <c r="O603" s="71" t="n">
        <v>51440</v>
      </c>
      <c r="P603" t="n">
        <v>1069.543673780488</v>
      </c>
      <c r="V603" t="n">
        <v>1</v>
      </c>
      <c r="W603" t="inlineStr">
        <is>
          <t>BALANCE TASAS</t>
        </is>
      </c>
      <c r="Y603" t="inlineStr">
        <is>
          <t>BALANCE TASAS</t>
        </is>
      </c>
      <c r="Z603" t="inlineStr">
        <is>
          <t>HTM</t>
        </is>
      </c>
      <c r="AA603" t="n">
        <v>1</v>
      </c>
    </row>
    <row r="604">
      <c r="A604" s="71" t="n">
        <v>45923</v>
      </c>
      <c r="B604" t="n">
        <v>1</v>
      </c>
      <c r="D604" t="inlineStr">
        <is>
          <t>PAS</t>
        </is>
      </c>
      <c r="E604" t="inlineStr">
        <is>
          <t>CLF</t>
        </is>
      </c>
      <c r="F604" t="inlineStr">
        <is>
          <t>CLF</t>
        </is>
      </c>
      <c r="H604" t="inlineStr">
        <is>
          <t>MT_CTA. AHORRO</t>
        </is>
      </c>
      <c r="I604" t="inlineStr">
        <is>
          <t>CTA. AHORRO G.DIF_CORE_CORE</t>
        </is>
      </c>
      <c r="K604" t="n">
        <v>183</v>
      </c>
      <c r="M604" s="71" t="n">
        <v>51470</v>
      </c>
      <c r="N604" s="71" t="n">
        <v>51470</v>
      </c>
      <c r="O604" s="71" t="n">
        <v>51470</v>
      </c>
      <c r="P604" t="n">
        <v>1069.543673780488</v>
      </c>
      <c r="V604" t="n">
        <v>1</v>
      </c>
      <c r="W604" t="inlineStr">
        <is>
          <t>BALANCE TASAS</t>
        </is>
      </c>
      <c r="Y604" t="inlineStr">
        <is>
          <t>BALANCE TASAS</t>
        </is>
      </c>
      <c r="Z604" t="inlineStr">
        <is>
          <t>HTM</t>
        </is>
      </c>
      <c r="AA604" t="n">
        <v>1</v>
      </c>
    </row>
    <row r="605">
      <c r="A605" s="71" t="n">
        <v>45923</v>
      </c>
      <c r="B605" t="n">
        <v>1</v>
      </c>
      <c r="D605" t="inlineStr">
        <is>
          <t>PAS</t>
        </is>
      </c>
      <c r="E605" t="inlineStr">
        <is>
          <t>CLF</t>
        </is>
      </c>
      <c r="F605" t="inlineStr">
        <is>
          <t>CLF</t>
        </is>
      </c>
      <c r="H605" t="inlineStr">
        <is>
          <t>MT_CTA. AHORRO</t>
        </is>
      </c>
      <c r="I605" t="inlineStr">
        <is>
          <t>CTA. AHORRO G.DIF_CORE_CORE</t>
        </is>
      </c>
      <c r="K605" t="n">
        <v>184</v>
      </c>
      <c r="M605" s="71" t="n">
        <v>51501</v>
      </c>
      <c r="N605" s="71" t="n">
        <v>51501</v>
      </c>
      <c r="O605" s="71" t="n">
        <v>51501</v>
      </c>
      <c r="P605" t="n">
        <v>1069.543673780488</v>
      </c>
      <c r="V605" t="n">
        <v>1</v>
      </c>
      <c r="W605" t="inlineStr">
        <is>
          <t>BALANCE TASAS</t>
        </is>
      </c>
      <c r="Y605" t="inlineStr">
        <is>
          <t>BALANCE TASAS</t>
        </is>
      </c>
      <c r="Z605" t="inlineStr">
        <is>
          <t>HTM</t>
        </is>
      </c>
      <c r="AA605" t="n">
        <v>1</v>
      </c>
    </row>
    <row r="606">
      <c r="A606" s="71" t="n">
        <v>45923</v>
      </c>
      <c r="B606" t="n">
        <v>1</v>
      </c>
      <c r="D606" t="inlineStr">
        <is>
          <t>PAS</t>
        </is>
      </c>
      <c r="E606" t="inlineStr">
        <is>
          <t>CLF</t>
        </is>
      </c>
      <c r="F606" t="inlineStr">
        <is>
          <t>CLF</t>
        </is>
      </c>
      <c r="H606" t="inlineStr">
        <is>
          <t>MT_CTA. AHORRO</t>
        </is>
      </c>
      <c r="I606" t="inlineStr">
        <is>
          <t>CTA. AHORRO G.DIF_CORE_CORE</t>
        </is>
      </c>
      <c r="K606" t="n">
        <v>185</v>
      </c>
      <c r="M606" s="71" t="n">
        <v>51532</v>
      </c>
      <c r="N606" s="71" t="n">
        <v>51532</v>
      </c>
      <c r="O606" s="71" t="n">
        <v>51532</v>
      </c>
      <c r="P606" t="n">
        <v>1069.543673780488</v>
      </c>
      <c r="V606" t="n">
        <v>1</v>
      </c>
      <c r="W606" t="inlineStr">
        <is>
          <t>BALANCE TASAS</t>
        </is>
      </c>
      <c r="Y606" t="inlineStr">
        <is>
          <t>BALANCE TASAS</t>
        </is>
      </c>
      <c r="Z606" t="inlineStr">
        <is>
          <t>HTM</t>
        </is>
      </c>
      <c r="AA606" t="n">
        <v>1</v>
      </c>
    </row>
    <row r="607">
      <c r="A607" s="71" t="n">
        <v>45923</v>
      </c>
      <c r="B607" t="n">
        <v>1</v>
      </c>
      <c r="D607" t="inlineStr">
        <is>
          <t>PAS</t>
        </is>
      </c>
      <c r="E607" t="inlineStr">
        <is>
          <t>CLF</t>
        </is>
      </c>
      <c r="F607" t="inlineStr">
        <is>
          <t>CLF</t>
        </is>
      </c>
      <c r="H607" t="inlineStr">
        <is>
          <t>MT_CTA. AHORRO</t>
        </is>
      </c>
      <c r="I607" t="inlineStr">
        <is>
          <t>CTA. AHORRO G.DIF_CORE_CORE</t>
        </is>
      </c>
      <c r="K607" t="n">
        <v>186</v>
      </c>
      <c r="M607" s="71" t="n">
        <v>51560</v>
      </c>
      <c r="N607" s="71" t="n">
        <v>51560</v>
      </c>
      <c r="O607" s="71" t="n">
        <v>51560</v>
      </c>
      <c r="P607" t="n">
        <v>1069.543673780488</v>
      </c>
      <c r="V607" t="n">
        <v>1</v>
      </c>
      <c r="W607" t="inlineStr">
        <is>
          <t>BALANCE TASAS</t>
        </is>
      </c>
      <c r="Y607" t="inlineStr">
        <is>
          <t>BALANCE TASAS</t>
        </is>
      </c>
      <c r="Z607" t="inlineStr">
        <is>
          <t>HTM</t>
        </is>
      </c>
      <c r="AA607" t="n">
        <v>1</v>
      </c>
    </row>
    <row r="608">
      <c r="A608" s="71" t="n">
        <v>45923</v>
      </c>
      <c r="B608" t="n">
        <v>1</v>
      </c>
      <c r="D608" t="inlineStr">
        <is>
          <t>PAS</t>
        </is>
      </c>
      <c r="E608" t="inlineStr">
        <is>
          <t>CLF</t>
        </is>
      </c>
      <c r="F608" t="inlineStr">
        <is>
          <t>CLF</t>
        </is>
      </c>
      <c r="H608" t="inlineStr">
        <is>
          <t>MT_CTA. AHORRO</t>
        </is>
      </c>
      <c r="I608" t="inlineStr">
        <is>
          <t>CTA. AHORRO G.DIF_CORE_CORE</t>
        </is>
      </c>
      <c r="K608" t="n">
        <v>187</v>
      </c>
      <c r="M608" s="71" t="n">
        <v>51591</v>
      </c>
      <c r="N608" s="71" t="n">
        <v>51591</v>
      </c>
      <c r="O608" s="71" t="n">
        <v>51591</v>
      </c>
      <c r="P608" t="n">
        <v>1069.543673780488</v>
      </c>
      <c r="V608" t="n">
        <v>1</v>
      </c>
      <c r="W608" t="inlineStr">
        <is>
          <t>BALANCE TASAS</t>
        </is>
      </c>
      <c r="Y608" t="inlineStr">
        <is>
          <t>BALANCE TASAS</t>
        </is>
      </c>
      <c r="Z608" t="inlineStr">
        <is>
          <t>HTM</t>
        </is>
      </c>
      <c r="AA608" t="n">
        <v>1</v>
      </c>
    </row>
    <row r="609">
      <c r="A609" s="71" t="n">
        <v>45923</v>
      </c>
      <c r="B609" t="n">
        <v>1</v>
      </c>
      <c r="D609" t="inlineStr">
        <is>
          <t>PAS</t>
        </is>
      </c>
      <c r="E609" t="inlineStr">
        <is>
          <t>CLF</t>
        </is>
      </c>
      <c r="F609" t="inlineStr">
        <is>
          <t>CLF</t>
        </is>
      </c>
      <c r="H609" t="inlineStr">
        <is>
          <t>MT_CTA. AHORRO</t>
        </is>
      </c>
      <c r="I609" t="inlineStr">
        <is>
          <t>CTA. AHORRO G.DIF_CORE_CORE</t>
        </is>
      </c>
      <c r="K609" t="n">
        <v>188</v>
      </c>
      <c r="M609" s="71" t="n">
        <v>51621</v>
      </c>
      <c r="N609" s="71" t="n">
        <v>51621</v>
      </c>
      <c r="O609" s="71" t="n">
        <v>51621</v>
      </c>
      <c r="P609" t="n">
        <v>1069.543673780488</v>
      </c>
      <c r="V609" t="n">
        <v>1</v>
      </c>
      <c r="W609" t="inlineStr">
        <is>
          <t>BALANCE TASAS</t>
        </is>
      </c>
      <c r="Y609" t="inlineStr">
        <is>
          <t>BALANCE TASAS</t>
        </is>
      </c>
      <c r="Z609" t="inlineStr">
        <is>
          <t>HTM</t>
        </is>
      </c>
      <c r="AA609" t="n">
        <v>1</v>
      </c>
    </row>
    <row r="610">
      <c r="A610" s="71" t="n">
        <v>45923</v>
      </c>
      <c r="B610" t="n">
        <v>1</v>
      </c>
      <c r="D610" t="inlineStr">
        <is>
          <t>PAS</t>
        </is>
      </c>
      <c r="E610" t="inlineStr">
        <is>
          <t>CLF</t>
        </is>
      </c>
      <c r="F610" t="inlineStr">
        <is>
          <t>CLF</t>
        </is>
      </c>
      <c r="H610" t="inlineStr">
        <is>
          <t>MT_CTA. AHORRO</t>
        </is>
      </c>
      <c r="I610" t="inlineStr">
        <is>
          <t>CTA. AHORRO G.DIF_CORE_CORE</t>
        </is>
      </c>
      <c r="K610" t="n">
        <v>189</v>
      </c>
      <c r="M610" s="71" t="n">
        <v>51652</v>
      </c>
      <c r="N610" s="71" t="n">
        <v>51652</v>
      </c>
      <c r="O610" s="71" t="n">
        <v>51652</v>
      </c>
      <c r="P610" t="n">
        <v>1069.543673780488</v>
      </c>
      <c r="V610" t="n">
        <v>1</v>
      </c>
      <c r="W610" t="inlineStr">
        <is>
          <t>BALANCE TASAS</t>
        </is>
      </c>
      <c r="Y610" t="inlineStr">
        <is>
          <t>BALANCE TASAS</t>
        </is>
      </c>
      <c r="Z610" t="inlineStr">
        <is>
          <t>HTM</t>
        </is>
      </c>
      <c r="AA610" t="n">
        <v>1</v>
      </c>
    </row>
    <row r="611">
      <c r="A611" s="71" t="n">
        <v>45923</v>
      </c>
      <c r="B611" t="n">
        <v>1</v>
      </c>
      <c r="D611" t="inlineStr">
        <is>
          <t>PAS</t>
        </is>
      </c>
      <c r="E611" t="inlineStr">
        <is>
          <t>CLF</t>
        </is>
      </c>
      <c r="F611" t="inlineStr">
        <is>
          <t>CLF</t>
        </is>
      </c>
      <c r="H611" t="inlineStr">
        <is>
          <t>MT_CTA. AHORRO</t>
        </is>
      </c>
      <c r="I611" t="inlineStr">
        <is>
          <t>CTA. AHORRO G.DIF_CORE_CORE</t>
        </is>
      </c>
      <c r="K611" t="n">
        <v>190</v>
      </c>
      <c r="M611" s="71" t="n">
        <v>51682</v>
      </c>
      <c r="N611" s="71" t="n">
        <v>51682</v>
      </c>
      <c r="O611" s="71" t="n">
        <v>51682</v>
      </c>
      <c r="P611" t="n">
        <v>1069.543673780488</v>
      </c>
      <c r="V611" t="n">
        <v>1</v>
      </c>
      <c r="W611" t="inlineStr">
        <is>
          <t>BALANCE TASAS</t>
        </is>
      </c>
      <c r="Y611" t="inlineStr">
        <is>
          <t>BALANCE TASAS</t>
        </is>
      </c>
      <c r="Z611" t="inlineStr">
        <is>
          <t>HTM</t>
        </is>
      </c>
      <c r="AA611" t="n">
        <v>1</v>
      </c>
    </row>
    <row r="612">
      <c r="A612" s="71" t="n">
        <v>45923</v>
      </c>
      <c r="B612" t="n">
        <v>1</v>
      </c>
      <c r="D612" t="inlineStr">
        <is>
          <t>PAS</t>
        </is>
      </c>
      <c r="E612" t="inlineStr">
        <is>
          <t>CLF</t>
        </is>
      </c>
      <c r="F612" t="inlineStr">
        <is>
          <t>CLF</t>
        </is>
      </c>
      <c r="H612" t="inlineStr">
        <is>
          <t>MT_CTA. AHORRO</t>
        </is>
      </c>
      <c r="I612" t="inlineStr">
        <is>
          <t>CTA. AHORRO G.DIF_CORE_CORE</t>
        </is>
      </c>
      <c r="K612" t="n">
        <v>191</v>
      </c>
      <c r="M612" s="71" t="n">
        <v>51713</v>
      </c>
      <c r="N612" s="71" t="n">
        <v>51713</v>
      </c>
      <c r="O612" s="71" t="n">
        <v>51713</v>
      </c>
      <c r="P612" t="n">
        <v>1069.543673780488</v>
      </c>
      <c r="V612" t="n">
        <v>1</v>
      </c>
      <c r="W612" t="inlineStr">
        <is>
          <t>BALANCE TASAS</t>
        </is>
      </c>
      <c r="Y612" t="inlineStr">
        <is>
          <t>BALANCE TASAS</t>
        </is>
      </c>
      <c r="Z612" t="inlineStr">
        <is>
          <t>HTM</t>
        </is>
      </c>
      <c r="AA612" t="n">
        <v>1</v>
      </c>
    </row>
    <row r="613">
      <c r="A613" s="71" t="n">
        <v>45923</v>
      </c>
      <c r="B613" t="n">
        <v>1</v>
      </c>
      <c r="D613" t="inlineStr">
        <is>
          <t>PAS</t>
        </is>
      </c>
      <c r="E613" t="inlineStr">
        <is>
          <t>CLF</t>
        </is>
      </c>
      <c r="F613" t="inlineStr">
        <is>
          <t>CLF</t>
        </is>
      </c>
      <c r="H613" t="inlineStr">
        <is>
          <t>MT_CTA. AHORRO</t>
        </is>
      </c>
      <c r="I613" t="inlineStr">
        <is>
          <t>CTA. AHORRO G.DIF_CORE_CORE</t>
        </is>
      </c>
      <c r="K613" t="n">
        <v>192</v>
      </c>
      <c r="M613" s="71" t="n">
        <v>51744</v>
      </c>
      <c r="N613" s="71" t="n">
        <v>51744</v>
      </c>
      <c r="O613" s="71" t="n">
        <v>51744</v>
      </c>
      <c r="P613" t="n">
        <v>1069.543673780488</v>
      </c>
      <c r="V613" t="n">
        <v>1</v>
      </c>
      <c r="W613" t="inlineStr">
        <is>
          <t>BALANCE TASAS</t>
        </is>
      </c>
      <c r="Y613" t="inlineStr">
        <is>
          <t>BALANCE TASAS</t>
        </is>
      </c>
      <c r="Z613" t="inlineStr">
        <is>
          <t>HTM</t>
        </is>
      </c>
      <c r="AA613" t="n">
        <v>1</v>
      </c>
    </row>
    <row r="614">
      <c r="A614" s="71" t="n">
        <v>45923</v>
      </c>
      <c r="B614" t="n">
        <v>1</v>
      </c>
      <c r="D614" t="inlineStr">
        <is>
          <t>PAS</t>
        </is>
      </c>
      <c r="E614" t="inlineStr">
        <is>
          <t>CLF</t>
        </is>
      </c>
      <c r="F614" t="inlineStr">
        <is>
          <t>CLF</t>
        </is>
      </c>
      <c r="H614" t="inlineStr">
        <is>
          <t>MT_CTA. AHORRO</t>
        </is>
      </c>
      <c r="I614" t="inlineStr">
        <is>
          <t>CTA. AHORRO G.DIF_CORE_CORE</t>
        </is>
      </c>
      <c r="K614" t="n">
        <v>193</v>
      </c>
      <c r="M614" s="71" t="n">
        <v>51774</v>
      </c>
      <c r="N614" s="71" t="n">
        <v>51774</v>
      </c>
      <c r="O614" s="71" t="n">
        <v>51774</v>
      </c>
      <c r="P614" t="n">
        <v>1069.543673780488</v>
      </c>
      <c r="V614" t="n">
        <v>1</v>
      </c>
      <c r="W614" t="inlineStr">
        <is>
          <t>BALANCE TASAS</t>
        </is>
      </c>
      <c r="Y614" t="inlineStr">
        <is>
          <t>BALANCE TASAS</t>
        </is>
      </c>
      <c r="Z614" t="inlineStr">
        <is>
          <t>HTM</t>
        </is>
      </c>
      <c r="AA614" t="n">
        <v>1</v>
      </c>
    </row>
    <row r="615">
      <c r="A615" s="71" t="n">
        <v>45923</v>
      </c>
      <c r="B615" t="n">
        <v>1</v>
      </c>
      <c r="D615" t="inlineStr">
        <is>
          <t>PAS</t>
        </is>
      </c>
      <c r="E615" t="inlineStr">
        <is>
          <t>CLF</t>
        </is>
      </c>
      <c r="F615" t="inlineStr">
        <is>
          <t>CLF</t>
        </is>
      </c>
      <c r="H615" t="inlineStr">
        <is>
          <t>MT_CTA. AHORRO</t>
        </is>
      </c>
      <c r="I615" t="inlineStr">
        <is>
          <t>CTA. AHORRO G.DIF_CORE_CORE</t>
        </is>
      </c>
      <c r="K615" t="n">
        <v>194</v>
      </c>
      <c r="M615" s="71" t="n">
        <v>51805</v>
      </c>
      <c r="N615" s="71" t="n">
        <v>51805</v>
      </c>
      <c r="O615" s="71" t="n">
        <v>51805</v>
      </c>
      <c r="P615" t="n">
        <v>1069.543673780488</v>
      </c>
      <c r="V615" t="n">
        <v>1</v>
      </c>
      <c r="W615" t="inlineStr">
        <is>
          <t>BALANCE TASAS</t>
        </is>
      </c>
      <c r="Y615" t="inlineStr">
        <is>
          <t>BALANCE TASAS</t>
        </is>
      </c>
      <c r="Z615" t="inlineStr">
        <is>
          <t>HTM</t>
        </is>
      </c>
      <c r="AA615" t="n">
        <v>1</v>
      </c>
    </row>
    <row r="616">
      <c r="A616" s="71" t="n">
        <v>45923</v>
      </c>
      <c r="B616" t="n">
        <v>1</v>
      </c>
      <c r="D616" t="inlineStr">
        <is>
          <t>PAS</t>
        </is>
      </c>
      <c r="E616" t="inlineStr">
        <is>
          <t>CLF</t>
        </is>
      </c>
      <c r="F616" t="inlineStr">
        <is>
          <t>CLF</t>
        </is>
      </c>
      <c r="H616" t="inlineStr">
        <is>
          <t>MT_CTA. AHORRO</t>
        </is>
      </c>
      <c r="I616" t="inlineStr">
        <is>
          <t>CTA. AHORRO G.DIF_CORE_CORE</t>
        </is>
      </c>
      <c r="K616" t="n">
        <v>195</v>
      </c>
      <c r="M616" s="71" t="n">
        <v>51835</v>
      </c>
      <c r="N616" s="71" t="n">
        <v>51835</v>
      </c>
      <c r="O616" s="71" t="n">
        <v>51835</v>
      </c>
      <c r="P616" t="n">
        <v>1069.543673780488</v>
      </c>
      <c r="V616" t="n">
        <v>1</v>
      </c>
      <c r="W616" t="inlineStr">
        <is>
          <t>BALANCE TASAS</t>
        </is>
      </c>
      <c r="Y616" t="inlineStr">
        <is>
          <t>BALANCE TASAS</t>
        </is>
      </c>
      <c r="Z616" t="inlineStr">
        <is>
          <t>HTM</t>
        </is>
      </c>
      <c r="AA616" t="n">
        <v>1</v>
      </c>
    </row>
    <row r="617">
      <c r="A617" s="71" t="n">
        <v>45923</v>
      </c>
      <c r="B617" t="n">
        <v>1</v>
      </c>
      <c r="D617" t="inlineStr">
        <is>
          <t>PAS</t>
        </is>
      </c>
      <c r="E617" t="inlineStr">
        <is>
          <t>CLF</t>
        </is>
      </c>
      <c r="F617" t="inlineStr">
        <is>
          <t>CLF</t>
        </is>
      </c>
      <c r="H617" t="inlineStr">
        <is>
          <t>MT_CTA. AHORRO</t>
        </is>
      </c>
      <c r="I617" t="inlineStr">
        <is>
          <t>CTA. AHORRO G.DIF_CORE_CORE</t>
        </is>
      </c>
      <c r="K617" t="n">
        <v>196</v>
      </c>
      <c r="M617" s="71" t="n">
        <v>51866</v>
      </c>
      <c r="N617" s="71" t="n">
        <v>51866</v>
      </c>
      <c r="O617" s="71" t="n">
        <v>51866</v>
      </c>
      <c r="P617" t="n">
        <v>1069.543673780488</v>
      </c>
      <c r="V617" t="n">
        <v>1</v>
      </c>
      <c r="W617" t="inlineStr">
        <is>
          <t>BALANCE TASAS</t>
        </is>
      </c>
      <c r="Y617" t="inlineStr">
        <is>
          <t>BALANCE TASAS</t>
        </is>
      </c>
      <c r="Z617" t="inlineStr">
        <is>
          <t>HTM</t>
        </is>
      </c>
      <c r="AA617" t="n">
        <v>1</v>
      </c>
    </row>
    <row r="618">
      <c r="A618" s="71" t="n">
        <v>45923</v>
      </c>
      <c r="B618" t="n">
        <v>1</v>
      </c>
      <c r="D618" t="inlineStr">
        <is>
          <t>PAS</t>
        </is>
      </c>
      <c r="E618" t="inlineStr">
        <is>
          <t>CLF</t>
        </is>
      </c>
      <c r="F618" t="inlineStr">
        <is>
          <t>CLF</t>
        </is>
      </c>
      <c r="H618" t="inlineStr">
        <is>
          <t>MT_CTA. AHORRO</t>
        </is>
      </c>
      <c r="I618" t="inlineStr">
        <is>
          <t>CTA. AHORRO G.DIF_CORE_CORE</t>
        </is>
      </c>
      <c r="K618" t="n">
        <v>197</v>
      </c>
      <c r="M618" s="71" t="n">
        <v>51897</v>
      </c>
      <c r="N618" s="71" t="n">
        <v>51897</v>
      </c>
      <c r="O618" s="71" t="n">
        <v>51897</v>
      </c>
      <c r="P618" t="n">
        <v>1069.543673780488</v>
      </c>
      <c r="V618" t="n">
        <v>1</v>
      </c>
      <c r="W618" t="inlineStr">
        <is>
          <t>BALANCE TASAS</t>
        </is>
      </c>
      <c r="Y618" t="inlineStr">
        <is>
          <t>BALANCE TASAS</t>
        </is>
      </c>
      <c r="Z618" t="inlineStr">
        <is>
          <t>HTM</t>
        </is>
      </c>
      <c r="AA618" t="n">
        <v>1</v>
      </c>
    </row>
    <row r="619">
      <c r="A619" s="71" t="n">
        <v>45923</v>
      </c>
      <c r="B619" t="n">
        <v>1</v>
      </c>
      <c r="D619" t="inlineStr">
        <is>
          <t>PAS</t>
        </is>
      </c>
      <c r="E619" t="inlineStr">
        <is>
          <t>CLF</t>
        </is>
      </c>
      <c r="F619" t="inlineStr">
        <is>
          <t>CLF</t>
        </is>
      </c>
      <c r="H619" t="inlineStr">
        <is>
          <t>MT_CTA. AHORRO</t>
        </is>
      </c>
      <c r="I619" t="inlineStr">
        <is>
          <t>CTA. AHORRO G.DIF_CORE_CORE</t>
        </is>
      </c>
      <c r="K619" t="n">
        <v>198</v>
      </c>
      <c r="M619" s="71" t="n">
        <v>51925</v>
      </c>
      <c r="N619" s="71" t="n">
        <v>51925</v>
      </c>
      <c r="O619" s="71" t="n">
        <v>51925</v>
      </c>
      <c r="P619" t="n">
        <v>1069.543673780488</v>
      </c>
      <c r="V619" t="n">
        <v>1</v>
      </c>
      <c r="W619" t="inlineStr">
        <is>
          <t>BALANCE TASAS</t>
        </is>
      </c>
      <c r="Y619" t="inlineStr">
        <is>
          <t>BALANCE TASAS</t>
        </is>
      </c>
      <c r="Z619" t="inlineStr">
        <is>
          <t>HTM</t>
        </is>
      </c>
      <c r="AA619" t="n">
        <v>1</v>
      </c>
    </row>
    <row r="620">
      <c r="A620" s="71" t="n">
        <v>45923</v>
      </c>
      <c r="B620" t="n">
        <v>1</v>
      </c>
      <c r="D620" t="inlineStr">
        <is>
          <t>PAS</t>
        </is>
      </c>
      <c r="E620" t="inlineStr">
        <is>
          <t>CLF</t>
        </is>
      </c>
      <c r="F620" t="inlineStr">
        <is>
          <t>CLF</t>
        </is>
      </c>
      <c r="H620" t="inlineStr">
        <is>
          <t>MT_CTA. AHORRO</t>
        </is>
      </c>
      <c r="I620" t="inlineStr">
        <is>
          <t>CTA. AHORRO G.DIF_CORE_CORE</t>
        </is>
      </c>
      <c r="K620" t="n">
        <v>199</v>
      </c>
      <c r="M620" s="71" t="n">
        <v>51956</v>
      </c>
      <c r="N620" s="71" t="n">
        <v>51956</v>
      </c>
      <c r="O620" s="71" t="n">
        <v>51956</v>
      </c>
      <c r="P620" t="n">
        <v>1069.543673780488</v>
      </c>
      <c r="V620" t="n">
        <v>1</v>
      </c>
      <c r="W620" t="inlineStr">
        <is>
          <t>BALANCE TASAS</t>
        </is>
      </c>
      <c r="Y620" t="inlineStr">
        <is>
          <t>BALANCE TASAS</t>
        </is>
      </c>
      <c r="Z620" t="inlineStr">
        <is>
          <t>HTM</t>
        </is>
      </c>
      <c r="AA620" t="n">
        <v>1</v>
      </c>
    </row>
    <row r="621">
      <c r="A621" s="71" t="n">
        <v>45923</v>
      </c>
      <c r="B621" t="n">
        <v>1</v>
      </c>
      <c r="D621" t="inlineStr">
        <is>
          <t>PAS</t>
        </is>
      </c>
      <c r="E621" t="inlineStr">
        <is>
          <t>CLF</t>
        </is>
      </c>
      <c r="F621" t="inlineStr">
        <is>
          <t>CLF</t>
        </is>
      </c>
      <c r="H621" t="inlineStr">
        <is>
          <t>MT_CTA. AHORRO</t>
        </is>
      </c>
      <c r="I621" t="inlineStr">
        <is>
          <t>CTA. AHORRO G.DIF_CORE_CORE</t>
        </is>
      </c>
      <c r="K621" t="n">
        <v>200</v>
      </c>
      <c r="M621" s="71" t="n">
        <v>51986</v>
      </c>
      <c r="N621" s="71" t="n">
        <v>51986</v>
      </c>
      <c r="O621" s="71" t="n">
        <v>51986</v>
      </c>
      <c r="P621" t="n">
        <v>1069.543673780488</v>
      </c>
      <c r="V621" t="n">
        <v>1</v>
      </c>
      <c r="W621" t="inlineStr">
        <is>
          <t>BALANCE TASAS</t>
        </is>
      </c>
      <c r="Y621" t="inlineStr">
        <is>
          <t>BALANCE TASAS</t>
        </is>
      </c>
      <c r="Z621" t="inlineStr">
        <is>
          <t>HTM</t>
        </is>
      </c>
      <c r="AA621" t="n">
        <v>1</v>
      </c>
    </row>
    <row r="622">
      <c r="A622" s="71" t="n">
        <v>45923</v>
      </c>
      <c r="B622" t="n">
        <v>1</v>
      </c>
      <c r="D622" t="inlineStr">
        <is>
          <t>PAS</t>
        </is>
      </c>
      <c r="E622" t="inlineStr">
        <is>
          <t>CLF</t>
        </is>
      </c>
      <c r="F622" t="inlineStr">
        <is>
          <t>CLF</t>
        </is>
      </c>
      <c r="H622" t="inlineStr">
        <is>
          <t>MT_CTA. AHORRO</t>
        </is>
      </c>
      <c r="I622" t="inlineStr">
        <is>
          <t>CTA. AHORRO G.DIF_CORE_CORE</t>
        </is>
      </c>
      <c r="K622" t="n">
        <v>201</v>
      </c>
      <c r="M622" s="71" t="n">
        <v>52017</v>
      </c>
      <c r="N622" s="71" t="n">
        <v>52017</v>
      </c>
      <c r="O622" s="71" t="n">
        <v>52017</v>
      </c>
      <c r="P622" t="n">
        <v>1069.543673780488</v>
      </c>
      <c r="V622" t="n">
        <v>1</v>
      </c>
      <c r="W622" t="inlineStr">
        <is>
          <t>BALANCE TASAS</t>
        </is>
      </c>
      <c r="Y622" t="inlineStr">
        <is>
          <t>BALANCE TASAS</t>
        </is>
      </c>
      <c r="Z622" t="inlineStr">
        <is>
          <t>HTM</t>
        </is>
      </c>
      <c r="AA622" t="n">
        <v>1</v>
      </c>
    </row>
    <row r="623">
      <c r="A623" s="71" t="n">
        <v>45923</v>
      </c>
      <c r="B623" t="n">
        <v>1</v>
      </c>
      <c r="D623" t="inlineStr">
        <is>
          <t>PAS</t>
        </is>
      </c>
      <c r="E623" t="inlineStr">
        <is>
          <t>CLF</t>
        </is>
      </c>
      <c r="F623" t="inlineStr">
        <is>
          <t>CLF</t>
        </is>
      </c>
      <c r="H623" t="inlineStr">
        <is>
          <t>MT_CTA. AHORRO</t>
        </is>
      </c>
      <c r="I623" t="inlineStr">
        <is>
          <t>CTA. AHORRO G.DIF_CORE_CORE</t>
        </is>
      </c>
      <c r="K623" t="n">
        <v>202</v>
      </c>
      <c r="M623" s="71" t="n">
        <v>52047</v>
      </c>
      <c r="N623" s="71" t="n">
        <v>52047</v>
      </c>
      <c r="O623" s="71" t="n">
        <v>52047</v>
      </c>
      <c r="P623" t="n">
        <v>1069.543673780488</v>
      </c>
      <c r="V623" t="n">
        <v>1</v>
      </c>
      <c r="W623" t="inlineStr">
        <is>
          <t>BALANCE TASAS</t>
        </is>
      </c>
      <c r="Y623" t="inlineStr">
        <is>
          <t>BALANCE TASAS</t>
        </is>
      </c>
      <c r="Z623" t="inlineStr">
        <is>
          <t>HTM</t>
        </is>
      </c>
      <c r="AA623" t="n">
        <v>1</v>
      </c>
    </row>
    <row r="624">
      <c r="A624" s="71" t="n">
        <v>45923</v>
      </c>
      <c r="B624" t="n">
        <v>1</v>
      </c>
      <c r="D624" t="inlineStr">
        <is>
          <t>PAS</t>
        </is>
      </c>
      <c r="E624" t="inlineStr">
        <is>
          <t>CLF</t>
        </is>
      </c>
      <c r="F624" t="inlineStr">
        <is>
          <t>CLF</t>
        </is>
      </c>
      <c r="H624" t="inlineStr">
        <is>
          <t>MT_CTA. AHORRO</t>
        </is>
      </c>
      <c r="I624" t="inlineStr">
        <is>
          <t>CTA. AHORRO G.DIF_CORE_CORE</t>
        </is>
      </c>
      <c r="K624" t="n">
        <v>203</v>
      </c>
      <c r="M624" s="71" t="n">
        <v>52078</v>
      </c>
      <c r="N624" s="71" t="n">
        <v>52078</v>
      </c>
      <c r="O624" s="71" t="n">
        <v>52078</v>
      </c>
      <c r="P624" t="n">
        <v>1069.543673780488</v>
      </c>
      <c r="V624" t="n">
        <v>1</v>
      </c>
      <c r="W624" t="inlineStr">
        <is>
          <t>BALANCE TASAS</t>
        </is>
      </c>
      <c r="Y624" t="inlineStr">
        <is>
          <t>BALANCE TASAS</t>
        </is>
      </c>
      <c r="Z624" t="inlineStr">
        <is>
          <t>HTM</t>
        </is>
      </c>
      <c r="AA624" t="n">
        <v>1</v>
      </c>
    </row>
    <row r="625">
      <c r="A625" s="71" t="n">
        <v>45923</v>
      </c>
      <c r="B625" t="n">
        <v>1</v>
      </c>
      <c r="D625" t="inlineStr">
        <is>
          <t>PAS</t>
        </is>
      </c>
      <c r="E625" t="inlineStr">
        <is>
          <t>CLF</t>
        </is>
      </c>
      <c r="F625" t="inlineStr">
        <is>
          <t>CLF</t>
        </is>
      </c>
      <c r="H625" t="inlineStr">
        <is>
          <t>MT_CTA. AHORRO</t>
        </is>
      </c>
      <c r="I625" t="inlineStr">
        <is>
          <t>CTA. AHORRO G.DIF_CORE_CORE</t>
        </is>
      </c>
      <c r="K625" t="n">
        <v>204</v>
      </c>
      <c r="M625" s="71" t="n">
        <v>52109</v>
      </c>
      <c r="N625" s="71" t="n">
        <v>52109</v>
      </c>
      <c r="O625" s="71" t="n">
        <v>52109</v>
      </c>
      <c r="P625" t="n">
        <v>1069.543673780488</v>
      </c>
      <c r="V625" t="n">
        <v>1</v>
      </c>
      <c r="W625" t="inlineStr">
        <is>
          <t>BALANCE TASAS</t>
        </is>
      </c>
      <c r="Y625" t="inlineStr">
        <is>
          <t>BALANCE TASAS</t>
        </is>
      </c>
      <c r="Z625" t="inlineStr">
        <is>
          <t>HTM</t>
        </is>
      </c>
      <c r="AA625" t="n">
        <v>1</v>
      </c>
    </row>
    <row r="626">
      <c r="A626" s="71" t="n">
        <v>45923</v>
      </c>
      <c r="B626" t="n">
        <v>1</v>
      </c>
      <c r="D626" t="inlineStr">
        <is>
          <t>PAS</t>
        </is>
      </c>
      <c r="E626" t="inlineStr">
        <is>
          <t>CLF</t>
        </is>
      </c>
      <c r="F626" t="inlineStr">
        <is>
          <t>CLF</t>
        </is>
      </c>
      <c r="H626" t="inlineStr">
        <is>
          <t>MT_CTA. AHORRO</t>
        </is>
      </c>
      <c r="I626" t="inlineStr">
        <is>
          <t>CTA. AHORRO G.DIF_CORE_CORE</t>
        </is>
      </c>
      <c r="K626" t="n">
        <v>205</v>
      </c>
      <c r="M626" s="71" t="n">
        <v>52139</v>
      </c>
      <c r="N626" s="71" t="n">
        <v>52139</v>
      </c>
      <c r="O626" s="71" t="n">
        <v>52139</v>
      </c>
      <c r="P626" t="n">
        <v>1069.543673780488</v>
      </c>
      <c r="V626" t="n">
        <v>1</v>
      </c>
      <c r="W626" t="inlineStr">
        <is>
          <t>BALANCE TASAS</t>
        </is>
      </c>
      <c r="Y626" t="inlineStr">
        <is>
          <t>BALANCE TASAS</t>
        </is>
      </c>
      <c r="Z626" t="inlineStr">
        <is>
          <t>HTM</t>
        </is>
      </c>
      <c r="AA626" t="n">
        <v>1</v>
      </c>
    </row>
    <row r="627">
      <c r="A627" s="71" t="n">
        <v>45923</v>
      </c>
      <c r="B627" t="n">
        <v>1</v>
      </c>
      <c r="D627" t="inlineStr">
        <is>
          <t>PAS</t>
        </is>
      </c>
      <c r="E627" t="inlineStr">
        <is>
          <t>CLF</t>
        </is>
      </c>
      <c r="F627" t="inlineStr">
        <is>
          <t>CLF</t>
        </is>
      </c>
      <c r="H627" t="inlineStr">
        <is>
          <t>MT_CTA. AHORRO</t>
        </is>
      </c>
      <c r="I627" t="inlineStr">
        <is>
          <t>CTA. AHORRO G.DIF</t>
        </is>
      </c>
      <c r="M627" s="71" t="n">
        <v>45924</v>
      </c>
      <c r="N627" s="71" t="n">
        <v>45924</v>
      </c>
      <c r="O627" s="71" t="n">
        <v>45924</v>
      </c>
      <c r="P627" t="n">
        <v>1128840.121421327</v>
      </c>
      <c r="V627" t="n">
        <v>1</v>
      </c>
      <c r="W627" t="inlineStr">
        <is>
          <t>BALANCE TASAS</t>
        </is>
      </c>
      <c r="Y627" t="inlineStr">
        <is>
          <t>BALANCE TASAS</t>
        </is>
      </c>
      <c r="Z627" t="inlineStr">
        <is>
          <t>HTM</t>
        </is>
      </c>
      <c r="AA627" t="n">
        <v>1</v>
      </c>
    </row>
    <row r="628">
      <c r="A628" s="71" t="n">
        <v>45923</v>
      </c>
      <c r="B628" t="n">
        <v>1</v>
      </c>
      <c r="D628" t="inlineStr">
        <is>
          <t>PAS</t>
        </is>
      </c>
      <c r="E628" t="inlineStr">
        <is>
          <t>CLF</t>
        </is>
      </c>
      <c r="F628" t="inlineStr">
        <is>
          <t>CLF</t>
        </is>
      </c>
      <c r="H628" t="inlineStr">
        <is>
          <t>MT_CTA. AHORRO</t>
        </is>
      </c>
      <c r="I628" t="inlineStr">
        <is>
          <t>CTA. AHORRO G.INC_CORE_CORE</t>
        </is>
      </c>
      <c r="K628" t="n">
        <v>1</v>
      </c>
      <c r="M628" s="71" t="n">
        <v>45930</v>
      </c>
      <c r="N628" s="71" t="n">
        <v>45930</v>
      </c>
      <c r="O628" s="71" t="n">
        <v>45930</v>
      </c>
      <c r="P628" t="n">
        <v>8300.060365853658</v>
      </c>
      <c r="V628" t="n">
        <v>1</v>
      </c>
      <c r="W628" t="inlineStr">
        <is>
          <t>BALANCE TASAS</t>
        </is>
      </c>
      <c r="Y628" t="inlineStr">
        <is>
          <t>BALANCE TASAS</t>
        </is>
      </c>
      <c r="Z628" t="inlineStr">
        <is>
          <t>HTM</t>
        </is>
      </c>
      <c r="AA628" t="n">
        <v>1</v>
      </c>
    </row>
    <row r="629">
      <c r="A629" s="71" t="n">
        <v>45923</v>
      </c>
      <c r="B629" t="n">
        <v>1</v>
      </c>
      <c r="D629" t="inlineStr">
        <is>
          <t>PAS</t>
        </is>
      </c>
      <c r="E629" t="inlineStr">
        <is>
          <t>CLF</t>
        </is>
      </c>
      <c r="F629" t="inlineStr">
        <is>
          <t>CLF</t>
        </is>
      </c>
      <c r="H629" t="inlineStr">
        <is>
          <t>MT_CTA. AHORRO</t>
        </is>
      </c>
      <c r="I629" t="inlineStr">
        <is>
          <t>CTA. AHORRO G.INC_CORE_CORE</t>
        </is>
      </c>
      <c r="K629" t="n">
        <v>2</v>
      </c>
      <c r="M629" s="71" t="n">
        <v>45961</v>
      </c>
      <c r="N629" s="71" t="n">
        <v>45961</v>
      </c>
      <c r="O629" s="71" t="n">
        <v>45961</v>
      </c>
      <c r="P629" t="n">
        <v>8300.060365853658</v>
      </c>
      <c r="V629" t="n">
        <v>1</v>
      </c>
      <c r="W629" t="inlineStr">
        <is>
          <t>BALANCE TASAS</t>
        </is>
      </c>
      <c r="Y629" t="inlineStr">
        <is>
          <t>BALANCE TASAS</t>
        </is>
      </c>
      <c r="Z629" t="inlineStr">
        <is>
          <t>HTM</t>
        </is>
      </c>
      <c r="AA629" t="n">
        <v>1</v>
      </c>
    </row>
    <row r="630">
      <c r="A630" s="71" t="n">
        <v>45923</v>
      </c>
      <c r="B630" t="n">
        <v>1</v>
      </c>
      <c r="D630" t="inlineStr">
        <is>
          <t>PAS</t>
        </is>
      </c>
      <c r="E630" t="inlineStr">
        <is>
          <t>CLF</t>
        </is>
      </c>
      <c r="F630" t="inlineStr">
        <is>
          <t>CLF</t>
        </is>
      </c>
      <c r="H630" t="inlineStr">
        <is>
          <t>MT_CTA. AHORRO</t>
        </is>
      </c>
      <c r="I630" t="inlineStr">
        <is>
          <t>CTA. AHORRO G.INC_CORE_CORE</t>
        </is>
      </c>
      <c r="K630" t="n">
        <v>3</v>
      </c>
      <c r="M630" s="71" t="n">
        <v>45991</v>
      </c>
      <c r="N630" s="71" t="n">
        <v>45991</v>
      </c>
      <c r="O630" s="71" t="n">
        <v>45991</v>
      </c>
      <c r="P630" t="n">
        <v>8300.060365853658</v>
      </c>
      <c r="V630" t="n">
        <v>1</v>
      </c>
      <c r="W630" t="inlineStr">
        <is>
          <t>BALANCE TASAS</t>
        </is>
      </c>
      <c r="Y630" t="inlineStr">
        <is>
          <t>BALANCE TASAS</t>
        </is>
      </c>
      <c r="Z630" t="inlineStr">
        <is>
          <t>HTM</t>
        </is>
      </c>
      <c r="AA630" t="n">
        <v>1</v>
      </c>
    </row>
    <row r="631">
      <c r="A631" s="71" t="n">
        <v>45923</v>
      </c>
      <c r="B631" t="n">
        <v>1</v>
      </c>
      <c r="D631" t="inlineStr">
        <is>
          <t>PAS</t>
        </is>
      </c>
      <c r="E631" t="inlineStr">
        <is>
          <t>CLF</t>
        </is>
      </c>
      <c r="F631" t="inlineStr">
        <is>
          <t>CLF</t>
        </is>
      </c>
      <c r="H631" t="inlineStr">
        <is>
          <t>MT_CTA. AHORRO</t>
        </is>
      </c>
      <c r="I631" t="inlineStr">
        <is>
          <t>CTA. AHORRO G.INC_CORE_CORE</t>
        </is>
      </c>
      <c r="K631" t="n">
        <v>4</v>
      </c>
      <c r="M631" s="71" t="n">
        <v>46022</v>
      </c>
      <c r="N631" s="71" t="n">
        <v>46022</v>
      </c>
      <c r="O631" s="71" t="n">
        <v>46022</v>
      </c>
      <c r="P631" t="n">
        <v>8300.060365853658</v>
      </c>
      <c r="V631" t="n">
        <v>1</v>
      </c>
      <c r="W631" t="inlineStr">
        <is>
          <t>BALANCE TASAS</t>
        </is>
      </c>
      <c r="Y631" t="inlineStr">
        <is>
          <t>BALANCE TASAS</t>
        </is>
      </c>
      <c r="Z631" t="inlineStr">
        <is>
          <t>HTM</t>
        </is>
      </c>
      <c r="AA631" t="n">
        <v>1</v>
      </c>
    </row>
    <row r="632">
      <c r="A632" s="71" t="n">
        <v>45923</v>
      </c>
      <c r="B632" t="n">
        <v>1</v>
      </c>
      <c r="D632" t="inlineStr">
        <is>
          <t>PAS</t>
        </is>
      </c>
      <c r="E632" t="inlineStr">
        <is>
          <t>CLF</t>
        </is>
      </c>
      <c r="F632" t="inlineStr">
        <is>
          <t>CLF</t>
        </is>
      </c>
      <c r="H632" t="inlineStr">
        <is>
          <t>MT_CTA. AHORRO</t>
        </is>
      </c>
      <c r="I632" t="inlineStr">
        <is>
          <t>CTA. AHORRO G.INC_CORE_CORE</t>
        </is>
      </c>
      <c r="K632" t="n">
        <v>5</v>
      </c>
      <c r="M632" s="71" t="n">
        <v>46053</v>
      </c>
      <c r="N632" s="71" t="n">
        <v>46053</v>
      </c>
      <c r="O632" s="71" t="n">
        <v>46053</v>
      </c>
      <c r="P632" t="n">
        <v>8300.060365853658</v>
      </c>
      <c r="V632" t="n">
        <v>1</v>
      </c>
      <c r="W632" t="inlineStr">
        <is>
          <t>BALANCE TASAS</t>
        </is>
      </c>
      <c r="Y632" t="inlineStr">
        <is>
          <t>BALANCE TASAS</t>
        </is>
      </c>
      <c r="Z632" t="inlineStr">
        <is>
          <t>HTM</t>
        </is>
      </c>
      <c r="AA632" t="n">
        <v>1</v>
      </c>
    </row>
    <row r="633">
      <c r="A633" s="71" t="n">
        <v>45923</v>
      </c>
      <c r="B633" t="n">
        <v>1</v>
      </c>
      <c r="D633" t="inlineStr">
        <is>
          <t>PAS</t>
        </is>
      </c>
      <c r="E633" t="inlineStr">
        <is>
          <t>CLF</t>
        </is>
      </c>
      <c r="F633" t="inlineStr">
        <is>
          <t>CLF</t>
        </is>
      </c>
      <c r="H633" t="inlineStr">
        <is>
          <t>MT_CTA. AHORRO</t>
        </is>
      </c>
      <c r="I633" t="inlineStr">
        <is>
          <t>CTA. AHORRO G.INC_CORE_CORE</t>
        </is>
      </c>
      <c r="K633" t="n">
        <v>6</v>
      </c>
      <c r="M633" s="71" t="n">
        <v>46081</v>
      </c>
      <c r="N633" s="71" t="n">
        <v>46081</v>
      </c>
      <c r="O633" s="71" t="n">
        <v>46081</v>
      </c>
      <c r="P633" t="n">
        <v>8300.060365853658</v>
      </c>
      <c r="V633" t="n">
        <v>1</v>
      </c>
      <c r="W633" t="inlineStr">
        <is>
          <t>BALANCE TASAS</t>
        </is>
      </c>
      <c r="Y633" t="inlineStr">
        <is>
          <t>BALANCE TASAS</t>
        </is>
      </c>
      <c r="Z633" t="inlineStr">
        <is>
          <t>HTM</t>
        </is>
      </c>
      <c r="AA633" t="n">
        <v>1</v>
      </c>
    </row>
    <row r="634">
      <c r="A634" s="71" t="n">
        <v>45923</v>
      </c>
      <c r="B634" t="n">
        <v>1</v>
      </c>
      <c r="D634" t="inlineStr">
        <is>
          <t>PAS</t>
        </is>
      </c>
      <c r="E634" t="inlineStr">
        <is>
          <t>CLF</t>
        </is>
      </c>
      <c r="F634" t="inlineStr">
        <is>
          <t>CLF</t>
        </is>
      </c>
      <c r="H634" t="inlineStr">
        <is>
          <t>MT_CTA. AHORRO</t>
        </is>
      </c>
      <c r="I634" t="inlineStr">
        <is>
          <t>CTA. AHORRO G.INC_CORE_CORE</t>
        </is>
      </c>
      <c r="K634" t="n">
        <v>7</v>
      </c>
      <c r="M634" s="71" t="n">
        <v>46112</v>
      </c>
      <c r="N634" s="71" t="n">
        <v>46112</v>
      </c>
      <c r="O634" s="71" t="n">
        <v>46112</v>
      </c>
      <c r="P634" t="n">
        <v>8300.060365853658</v>
      </c>
      <c r="V634" t="n">
        <v>1</v>
      </c>
      <c r="W634" t="inlineStr">
        <is>
          <t>BALANCE TASAS</t>
        </is>
      </c>
      <c r="Y634" t="inlineStr">
        <is>
          <t>BALANCE TASAS</t>
        </is>
      </c>
      <c r="Z634" t="inlineStr">
        <is>
          <t>HTM</t>
        </is>
      </c>
      <c r="AA634" t="n">
        <v>1</v>
      </c>
    </row>
    <row r="635">
      <c r="A635" s="71" t="n">
        <v>45923</v>
      </c>
      <c r="B635" t="n">
        <v>1</v>
      </c>
      <c r="D635" t="inlineStr">
        <is>
          <t>PAS</t>
        </is>
      </c>
      <c r="E635" t="inlineStr">
        <is>
          <t>CLF</t>
        </is>
      </c>
      <c r="F635" t="inlineStr">
        <is>
          <t>CLF</t>
        </is>
      </c>
      <c r="H635" t="inlineStr">
        <is>
          <t>MT_CTA. AHORRO</t>
        </is>
      </c>
      <c r="I635" t="inlineStr">
        <is>
          <t>CTA. AHORRO G.INC_CORE_CORE</t>
        </is>
      </c>
      <c r="K635" t="n">
        <v>8</v>
      </c>
      <c r="M635" s="71" t="n">
        <v>46142</v>
      </c>
      <c r="N635" s="71" t="n">
        <v>46142</v>
      </c>
      <c r="O635" s="71" t="n">
        <v>46142</v>
      </c>
      <c r="P635" t="n">
        <v>8300.060365853658</v>
      </c>
      <c r="V635" t="n">
        <v>1</v>
      </c>
      <c r="W635" t="inlineStr">
        <is>
          <t>BALANCE TASAS</t>
        </is>
      </c>
      <c r="Y635" t="inlineStr">
        <is>
          <t>BALANCE TASAS</t>
        </is>
      </c>
      <c r="Z635" t="inlineStr">
        <is>
          <t>HTM</t>
        </is>
      </c>
      <c r="AA635" t="n">
        <v>1</v>
      </c>
    </row>
    <row r="636">
      <c r="A636" s="71" t="n">
        <v>45923</v>
      </c>
      <c r="B636" t="n">
        <v>1</v>
      </c>
      <c r="D636" t="inlineStr">
        <is>
          <t>PAS</t>
        </is>
      </c>
      <c r="E636" t="inlineStr">
        <is>
          <t>CLF</t>
        </is>
      </c>
      <c r="F636" t="inlineStr">
        <is>
          <t>CLF</t>
        </is>
      </c>
      <c r="H636" t="inlineStr">
        <is>
          <t>MT_CTA. AHORRO</t>
        </is>
      </c>
      <c r="I636" t="inlineStr">
        <is>
          <t>CTA. AHORRO G.INC_CORE_CORE</t>
        </is>
      </c>
      <c r="K636" t="n">
        <v>9</v>
      </c>
      <c r="M636" s="71" t="n">
        <v>46173</v>
      </c>
      <c r="N636" s="71" t="n">
        <v>46173</v>
      </c>
      <c r="O636" s="71" t="n">
        <v>46173</v>
      </c>
      <c r="P636" t="n">
        <v>8300.060365853658</v>
      </c>
      <c r="V636" t="n">
        <v>1</v>
      </c>
      <c r="W636" t="inlineStr">
        <is>
          <t>BALANCE TASAS</t>
        </is>
      </c>
      <c r="Y636" t="inlineStr">
        <is>
          <t>BALANCE TASAS</t>
        </is>
      </c>
      <c r="Z636" t="inlineStr">
        <is>
          <t>HTM</t>
        </is>
      </c>
      <c r="AA636" t="n">
        <v>1</v>
      </c>
    </row>
    <row r="637">
      <c r="A637" s="71" t="n">
        <v>45923</v>
      </c>
      <c r="B637" t="n">
        <v>1</v>
      </c>
      <c r="D637" t="inlineStr">
        <is>
          <t>PAS</t>
        </is>
      </c>
      <c r="E637" t="inlineStr">
        <is>
          <t>CLF</t>
        </is>
      </c>
      <c r="F637" t="inlineStr">
        <is>
          <t>CLF</t>
        </is>
      </c>
      <c r="H637" t="inlineStr">
        <is>
          <t>MT_CTA. AHORRO</t>
        </is>
      </c>
      <c r="I637" t="inlineStr">
        <is>
          <t>CTA. AHORRO G.INC_CORE_CORE</t>
        </is>
      </c>
      <c r="K637" t="n">
        <v>10</v>
      </c>
      <c r="M637" s="71" t="n">
        <v>46203</v>
      </c>
      <c r="N637" s="71" t="n">
        <v>46203</v>
      </c>
      <c r="O637" s="71" t="n">
        <v>46203</v>
      </c>
      <c r="P637" t="n">
        <v>8300.060365853658</v>
      </c>
      <c r="V637" t="n">
        <v>1</v>
      </c>
      <c r="W637" t="inlineStr">
        <is>
          <t>BALANCE TASAS</t>
        </is>
      </c>
      <c r="Y637" t="inlineStr">
        <is>
          <t>BALANCE TASAS</t>
        </is>
      </c>
      <c r="Z637" t="inlineStr">
        <is>
          <t>HTM</t>
        </is>
      </c>
      <c r="AA637" t="n">
        <v>1</v>
      </c>
    </row>
    <row r="638">
      <c r="A638" s="71" t="n">
        <v>45923</v>
      </c>
      <c r="B638" t="n">
        <v>1</v>
      </c>
      <c r="D638" t="inlineStr">
        <is>
          <t>PAS</t>
        </is>
      </c>
      <c r="E638" t="inlineStr">
        <is>
          <t>CLF</t>
        </is>
      </c>
      <c r="F638" t="inlineStr">
        <is>
          <t>CLF</t>
        </is>
      </c>
      <c r="H638" t="inlineStr">
        <is>
          <t>MT_CTA. AHORRO</t>
        </is>
      </c>
      <c r="I638" t="inlineStr">
        <is>
          <t>CTA. AHORRO G.INC_CORE_CORE</t>
        </is>
      </c>
      <c r="K638" t="n">
        <v>11</v>
      </c>
      <c r="M638" s="71" t="n">
        <v>46234</v>
      </c>
      <c r="N638" s="71" t="n">
        <v>46234</v>
      </c>
      <c r="O638" s="71" t="n">
        <v>46234</v>
      </c>
      <c r="P638" t="n">
        <v>8300.060365853658</v>
      </c>
      <c r="V638" t="n">
        <v>1</v>
      </c>
      <c r="W638" t="inlineStr">
        <is>
          <t>BALANCE TASAS</t>
        </is>
      </c>
      <c r="Y638" t="inlineStr">
        <is>
          <t>BALANCE TASAS</t>
        </is>
      </c>
      <c r="Z638" t="inlineStr">
        <is>
          <t>HTM</t>
        </is>
      </c>
      <c r="AA638" t="n">
        <v>1</v>
      </c>
    </row>
    <row r="639">
      <c r="A639" s="71" t="n">
        <v>45923</v>
      </c>
      <c r="B639" t="n">
        <v>1</v>
      </c>
      <c r="D639" t="inlineStr">
        <is>
          <t>PAS</t>
        </is>
      </c>
      <c r="E639" t="inlineStr">
        <is>
          <t>CLF</t>
        </is>
      </c>
      <c r="F639" t="inlineStr">
        <is>
          <t>CLF</t>
        </is>
      </c>
      <c r="H639" t="inlineStr">
        <is>
          <t>MT_CTA. AHORRO</t>
        </is>
      </c>
      <c r="I639" t="inlineStr">
        <is>
          <t>CTA. AHORRO G.INC_CORE_CORE</t>
        </is>
      </c>
      <c r="K639" t="n">
        <v>12</v>
      </c>
      <c r="M639" s="71" t="n">
        <v>46265</v>
      </c>
      <c r="N639" s="71" t="n">
        <v>46265</v>
      </c>
      <c r="O639" s="71" t="n">
        <v>46265</v>
      </c>
      <c r="P639" t="n">
        <v>8300.060365853658</v>
      </c>
      <c r="V639" t="n">
        <v>1</v>
      </c>
      <c r="W639" t="inlineStr">
        <is>
          <t>BALANCE TASAS</t>
        </is>
      </c>
      <c r="Y639" t="inlineStr">
        <is>
          <t>BALANCE TASAS</t>
        </is>
      </c>
      <c r="Z639" t="inlineStr">
        <is>
          <t>HTM</t>
        </is>
      </c>
      <c r="AA639" t="n">
        <v>1</v>
      </c>
    </row>
    <row r="640">
      <c r="A640" s="71" t="n">
        <v>45923</v>
      </c>
      <c r="B640" t="n">
        <v>1</v>
      </c>
      <c r="D640" t="inlineStr">
        <is>
          <t>PAS</t>
        </is>
      </c>
      <c r="E640" t="inlineStr">
        <is>
          <t>CLF</t>
        </is>
      </c>
      <c r="F640" t="inlineStr">
        <is>
          <t>CLF</t>
        </is>
      </c>
      <c r="H640" t="inlineStr">
        <is>
          <t>MT_CTA. AHORRO</t>
        </is>
      </c>
      <c r="I640" t="inlineStr">
        <is>
          <t>CTA. AHORRO G.INC_CORE_CORE</t>
        </is>
      </c>
      <c r="K640" t="n">
        <v>13</v>
      </c>
      <c r="M640" s="71" t="n">
        <v>46295</v>
      </c>
      <c r="N640" s="71" t="n">
        <v>46295</v>
      </c>
      <c r="O640" s="71" t="n">
        <v>46295</v>
      </c>
      <c r="P640" t="n">
        <v>8300.060365853658</v>
      </c>
      <c r="V640" t="n">
        <v>1</v>
      </c>
      <c r="W640" t="inlineStr">
        <is>
          <t>BALANCE TASAS</t>
        </is>
      </c>
      <c r="Y640" t="inlineStr">
        <is>
          <t>BALANCE TASAS</t>
        </is>
      </c>
      <c r="Z640" t="inlineStr">
        <is>
          <t>HTM</t>
        </is>
      </c>
      <c r="AA640" t="n">
        <v>1</v>
      </c>
    </row>
    <row r="641">
      <c r="A641" s="71" t="n">
        <v>45923</v>
      </c>
      <c r="B641" t="n">
        <v>1</v>
      </c>
      <c r="D641" t="inlineStr">
        <is>
          <t>PAS</t>
        </is>
      </c>
      <c r="E641" t="inlineStr">
        <is>
          <t>CLF</t>
        </is>
      </c>
      <c r="F641" t="inlineStr">
        <is>
          <t>CLF</t>
        </is>
      </c>
      <c r="H641" t="inlineStr">
        <is>
          <t>MT_CTA. AHORRO</t>
        </is>
      </c>
      <c r="I641" t="inlineStr">
        <is>
          <t>CTA. AHORRO G.INC_CORE_CORE</t>
        </is>
      </c>
      <c r="K641" t="n">
        <v>14</v>
      </c>
      <c r="M641" s="71" t="n">
        <v>46326</v>
      </c>
      <c r="N641" s="71" t="n">
        <v>46326</v>
      </c>
      <c r="O641" s="71" t="n">
        <v>46326</v>
      </c>
      <c r="P641" t="n">
        <v>8300.060365853658</v>
      </c>
      <c r="V641" t="n">
        <v>1</v>
      </c>
      <c r="W641" t="inlineStr">
        <is>
          <t>BALANCE TASAS</t>
        </is>
      </c>
      <c r="Y641" t="inlineStr">
        <is>
          <t>BALANCE TASAS</t>
        </is>
      </c>
      <c r="Z641" t="inlineStr">
        <is>
          <t>HTM</t>
        </is>
      </c>
      <c r="AA641" t="n">
        <v>1</v>
      </c>
    </row>
    <row r="642">
      <c r="A642" s="71" t="n">
        <v>45923</v>
      </c>
      <c r="B642" t="n">
        <v>1</v>
      </c>
      <c r="D642" t="inlineStr">
        <is>
          <t>PAS</t>
        </is>
      </c>
      <c r="E642" t="inlineStr">
        <is>
          <t>CLF</t>
        </is>
      </c>
      <c r="F642" t="inlineStr">
        <is>
          <t>CLF</t>
        </is>
      </c>
      <c r="H642" t="inlineStr">
        <is>
          <t>MT_CTA. AHORRO</t>
        </is>
      </c>
      <c r="I642" t="inlineStr">
        <is>
          <t>CTA. AHORRO G.INC_CORE_CORE</t>
        </is>
      </c>
      <c r="K642" t="n">
        <v>15</v>
      </c>
      <c r="M642" s="71" t="n">
        <v>46356</v>
      </c>
      <c r="N642" s="71" t="n">
        <v>46356</v>
      </c>
      <c r="O642" s="71" t="n">
        <v>46356</v>
      </c>
      <c r="P642" t="n">
        <v>8300.060365853658</v>
      </c>
      <c r="V642" t="n">
        <v>1</v>
      </c>
      <c r="W642" t="inlineStr">
        <is>
          <t>BALANCE TASAS</t>
        </is>
      </c>
      <c r="Y642" t="inlineStr">
        <is>
          <t>BALANCE TASAS</t>
        </is>
      </c>
      <c r="Z642" t="inlineStr">
        <is>
          <t>HTM</t>
        </is>
      </c>
      <c r="AA642" t="n">
        <v>1</v>
      </c>
    </row>
    <row r="643">
      <c r="A643" s="71" t="n">
        <v>45923</v>
      </c>
      <c r="B643" t="n">
        <v>1</v>
      </c>
      <c r="D643" t="inlineStr">
        <is>
          <t>PAS</t>
        </is>
      </c>
      <c r="E643" t="inlineStr">
        <is>
          <t>CLF</t>
        </is>
      </c>
      <c r="F643" t="inlineStr">
        <is>
          <t>CLF</t>
        </is>
      </c>
      <c r="H643" t="inlineStr">
        <is>
          <t>MT_CTA. AHORRO</t>
        </is>
      </c>
      <c r="I643" t="inlineStr">
        <is>
          <t>CTA. AHORRO G.INC_CORE_CORE</t>
        </is>
      </c>
      <c r="K643" t="n">
        <v>16</v>
      </c>
      <c r="M643" s="71" t="n">
        <v>46387</v>
      </c>
      <c r="N643" s="71" t="n">
        <v>46387</v>
      </c>
      <c r="O643" s="71" t="n">
        <v>46387</v>
      </c>
      <c r="P643" t="n">
        <v>8300.060365853658</v>
      </c>
      <c r="V643" t="n">
        <v>1</v>
      </c>
      <c r="W643" t="inlineStr">
        <is>
          <t>BALANCE TASAS</t>
        </is>
      </c>
      <c r="Y643" t="inlineStr">
        <is>
          <t>BALANCE TASAS</t>
        </is>
      </c>
      <c r="Z643" t="inlineStr">
        <is>
          <t>HTM</t>
        </is>
      </c>
      <c r="AA643" t="n">
        <v>1</v>
      </c>
    </row>
    <row r="644">
      <c r="A644" s="71" t="n">
        <v>45923</v>
      </c>
      <c r="B644" t="n">
        <v>1</v>
      </c>
      <c r="D644" t="inlineStr">
        <is>
          <t>PAS</t>
        </is>
      </c>
      <c r="E644" t="inlineStr">
        <is>
          <t>CLF</t>
        </is>
      </c>
      <c r="F644" t="inlineStr">
        <is>
          <t>CLF</t>
        </is>
      </c>
      <c r="H644" t="inlineStr">
        <is>
          <t>MT_CTA. AHORRO</t>
        </is>
      </c>
      <c r="I644" t="inlineStr">
        <is>
          <t>CTA. AHORRO G.INC_CORE_CORE</t>
        </is>
      </c>
      <c r="K644" t="n">
        <v>17</v>
      </c>
      <c r="M644" s="71" t="n">
        <v>46418</v>
      </c>
      <c r="N644" s="71" t="n">
        <v>46418</v>
      </c>
      <c r="O644" s="71" t="n">
        <v>46418</v>
      </c>
      <c r="P644" t="n">
        <v>8300.060365853658</v>
      </c>
      <c r="V644" t="n">
        <v>1</v>
      </c>
      <c r="W644" t="inlineStr">
        <is>
          <t>BALANCE TASAS</t>
        </is>
      </c>
      <c r="Y644" t="inlineStr">
        <is>
          <t>BALANCE TASAS</t>
        </is>
      </c>
      <c r="Z644" t="inlineStr">
        <is>
          <t>HTM</t>
        </is>
      </c>
      <c r="AA644" t="n">
        <v>1</v>
      </c>
    </row>
    <row r="645">
      <c r="A645" s="71" t="n">
        <v>45923</v>
      </c>
      <c r="B645" t="n">
        <v>1</v>
      </c>
      <c r="D645" t="inlineStr">
        <is>
          <t>PAS</t>
        </is>
      </c>
      <c r="E645" t="inlineStr">
        <is>
          <t>CLF</t>
        </is>
      </c>
      <c r="F645" t="inlineStr">
        <is>
          <t>CLF</t>
        </is>
      </c>
      <c r="H645" t="inlineStr">
        <is>
          <t>MT_CTA. AHORRO</t>
        </is>
      </c>
      <c r="I645" t="inlineStr">
        <is>
          <t>CTA. AHORRO G.INC_CORE_CORE</t>
        </is>
      </c>
      <c r="K645" t="n">
        <v>18</v>
      </c>
      <c r="M645" s="71" t="n">
        <v>46446</v>
      </c>
      <c r="N645" s="71" t="n">
        <v>46446</v>
      </c>
      <c r="O645" s="71" t="n">
        <v>46446</v>
      </c>
      <c r="P645" t="n">
        <v>8300.060365853658</v>
      </c>
      <c r="V645" t="n">
        <v>1</v>
      </c>
      <c r="W645" t="inlineStr">
        <is>
          <t>BALANCE TASAS</t>
        </is>
      </c>
      <c r="Y645" t="inlineStr">
        <is>
          <t>BALANCE TASAS</t>
        </is>
      </c>
      <c r="Z645" t="inlineStr">
        <is>
          <t>HTM</t>
        </is>
      </c>
      <c r="AA645" t="n">
        <v>1</v>
      </c>
    </row>
    <row r="646">
      <c r="A646" s="71" t="n">
        <v>45923</v>
      </c>
      <c r="B646" t="n">
        <v>1</v>
      </c>
      <c r="D646" t="inlineStr">
        <is>
          <t>PAS</t>
        </is>
      </c>
      <c r="E646" t="inlineStr">
        <is>
          <t>CLF</t>
        </is>
      </c>
      <c r="F646" t="inlineStr">
        <is>
          <t>CLF</t>
        </is>
      </c>
      <c r="H646" t="inlineStr">
        <is>
          <t>MT_CTA. AHORRO</t>
        </is>
      </c>
      <c r="I646" t="inlineStr">
        <is>
          <t>CTA. AHORRO G.INC_CORE_CORE</t>
        </is>
      </c>
      <c r="K646" t="n">
        <v>19</v>
      </c>
      <c r="M646" s="71" t="n">
        <v>46477</v>
      </c>
      <c r="N646" s="71" t="n">
        <v>46477</v>
      </c>
      <c r="O646" s="71" t="n">
        <v>46477</v>
      </c>
      <c r="P646" t="n">
        <v>8300.060365853658</v>
      </c>
      <c r="V646" t="n">
        <v>1</v>
      </c>
      <c r="W646" t="inlineStr">
        <is>
          <t>BALANCE TASAS</t>
        </is>
      </c>
      <c r="Y646" t="inlineStr">
        <is>
          <t>BALANCE TASAS</t>
        </is>
      </c>
      <c r="Z646" t="inlineStr">
        <is>
          <t>HTM</t>
        </is>
      </c>
      <c r="AA646" t="n">
        <v>1</v>
      </c>
    </row>
    <row r="647">
      <c r="A647" s="71" t="n">
        <v>45923</v>
      </c>
      <c r="B647" t="n">
        <v>1</v>
      </c>
      <c r="D647" t="inlineStr">
        <is>
          <t>PAS</t>
        </is>
      </c>
      <c r="E647" t="inlineStr">
        <is>
          <t>CLF</t>
        </is>
      </c>
      <c r="F647" t="inlineStr">
        <is>
          <t>CLF</t>
        </is>
      </c>
      <c r="H647" t="inlineStr">
        <is>
          <t>MT_CTA. AHORRO</t>
        </is>
      </c>
      <c r="I647" t="inlineStr">
        <is>
          <t>CTA. AHORRO G.INC_CORE_CORE</t>
        </is>
      </c>
      <c r="K647" t="n">
        <v>20</v>
      </c>
      <c r="M647" s="71" t="n">
        <v>46507</v>
      </c>
      <c r="N647" s="71" t="n">
        <v>46507</v>
      </c>
      <c r="O647" s="71" t="n">
        <v>46507</v>
      </c>
      <c r="P647" t="n">
        <v>8300.060365853658</v>
      </c>
      <c r="V647" t="n">
        <v>1</v>
      </c>
      <c r="W647" t="inlineStr">
        <is>
          <t>BALANCE TASAS</t>
        </is>
      </c>
      <c r="Y647" t="inlineStr">
        <is>
          <t>BALANCE TASAS</t>
        </is>
      </c>
      <c r="Z647" t="inlineStr">
        <is>
          <t>HTM</t>
        </is>
      </c>
      <c r="AA647" t="n">
        <v>1</v>
      </c>
    </row>
    <row r="648">
      <c r="A648" s="71" t="n">
        <v>45923</v>
      </c>
      <c r="B648" t="n">
        <v>1</v>
      </c>
      <c r="D648" t="inlineStr">
        <is>
          <t>PAS</t>
        </is>
      </c>
      <c r="E648" t="inlineStr">
        <is>
          <t>CLF</t>
        </is>
      </c>
      <c r="F648" t="inlineStr">
        <is>
          <t>CLF</t>
        </is>
      </c>
      <c r="H648" t="inlineStr">
        <is>
          <t>MT_CTA. AHORRO</t>
        </is>
      </c>
      <c r="I648" t="inlineStr">
        <is>
          <t>CTA. AHORRO G.INC_CORE_CORE</t>
        </is>
      </c>
      <c r="K648" t="n">
        <v>21</v>
      </c>
      <c r="M648" s="71" t="n">
        <v>46538</v>
      </c>
      <c r="N648" s="71" t="n">
        <v>46538</v>
      </c>
      <c r="O648" s="71" t="n">
        <v>46538</v>
      </c>
      <c r="P648" t="n">
        <v>8300.060365853658</v>
      </c>
      <c r="V648" t="n">
        <v>1</v>
      </c>
      <c r="W648" t="inlineStr">
        <is>
          <t>BALANCE TASAS</t>
        </is>
      </c>
      <c r="Y648" t="inlineStr">
        <is>
          <t>BALANCE TASAS</t>
        </is>
      </c>
      <c r="Z648" t="inlineStr">
        <is>
          <t>HTM</t>
        </is>
      </c>
      <c r="AA648" t="n">
        <v>1</v>
      </c>
    </row>
    <row r="649">
      <c r="A649" s="71" t="n">
        <v>45923</v>
      </c>
      <c r="B649" t="n">
        <v>1</v>
      </c>
      <c r="D649" t="inlineStr">
        <is>
          <t>PAS</t>
        </is>
      </c>
      <c r="E649" t="inlineStr">
        <is>
          <t>CLF</t>
        </is>
      </c>
      <c r="F649" t="inlineStr">
        <is>
          <t>CLF</t>
        </is>
      </c>
      <c r="H649" t="inlineStr">
        <is>
          <t>MT_CTA. AHORRO</t>
        </is>
      </c>
      <c r="I649" t="inlineStr">
        <is>
          <t>CTA. AHORRO G.INC_CORE_CORE</t>
        </is>
      </c>
      <c r="K649" t="n">
        <v>22</v>
      </c>
      <c r="M649" s="71" t="n">
        <v>46568</v>
      </c>
      <c r="N649" s="71" t="n">
        <v>46568</v>
      </c>
      <c r="O649" s="71" t="n">
        <v>46568</v>
      </c>
      <c r="P649" t="n">
        <v>8300.060365853658</v>
      </c>
      <c r="V649" t="n">
        <v>1</v>
      </c>
      <c r="W649" t="inlineStr">
        <is>
          <t>BALANCE TASAS</t>
        </is>
      </c>
      <c r="Y649" t="inlineStr">
        <is>
          <t>BALANCE TASAS</t>
        </is>
      </c>
      <c r="Z649" t="inlineStr">
        <is>
          <t>HTM</t>
        </is>
      </c>
      <c r="AA649" t="n">
        <v>1</v>
      </c>
    </row>
    <row r="650">
      <c r="A650" s="71" t="n">
        <v>45923</v>
      </c>
      <c r="B650" t="n">
        <v>1</v>
      </c>
      <c r="D650" t="inlineStr">
        <is>
          <t>PAS</t>
        </is>
      </c>
      <c r="E650" t="inlineStr">
        <is>
          <t>CLF</t>
        </is>
      </c>
      <c r="F650" t="inlineStr">
        <is>
          <t>CLF</t>
        </is>
      </c>
      <c r="H650" t="inlineStr">
        <is>
          <t>MT_CTA. AHORRO</t>
        </is>
      </c>
      <c r="I650" t="inlineStr">
        <is>
          <t>CTA. AHORRO G.INC_CORE_CORE</t>
        </is>
      </c>
      <c r="K650" t="n">
        <v>23</v>
      </c>
      <c r="M650" s="71" t="n">
        <v>46599</v>
      </c>
      <c r="N650" s="71" t="n">
        <v>46599</v>
      </c>
      <c r="O650" s="71" t="n">
        <v>46599</v>
      </c>
      <c r="P650" t="n">
        <v>8300.060365853658</v>
      </c>
      <c r="V650" t="n">
        <v>1</v>
      </c>
      <c r="W650" t="inlineStr">
        <is>
          <t>BALANCE TASAS</t>
        </is>
      </c>
      <c r="Y650" t="inlineStr">
        <is>
          <t>BALANCE TASAS</t>
        </is>
      </c>
      <c r="Z650" t="inlineStr">
        <is>
          <t>HTM</t>
        </is>
      </c>
      <c r="AA650" t="n">
        <v>1</v>
      </c>
    </row>
    <row r="651">
      <c r="A651" s="71" t="n">
        <v>45923</v>
      </c>
      <c r="B651" t="n">
        <v>1</v>
      </c>
      <c r="D651" t="inlineStr">
        <is>
          <t>PAS</t>
        </is>
      </c>
      <c r="E651" t="inlineStr">
        <is>
          <t>CLF</t>
        </is>
      </c>
      <c r="F651" t="inlineStr">
        <is>
          <t>CLF</t>
        </is>
      </c>
      <c r="H651" t="inlineStr">
        <is>
          <t>MT_CTA. AHORRO</t>
        </is>
      </c>
      <c r="I651" t="inlineStr">
        <is>
          <t>CTA. AHORRO G.INC_CORE_CORE</t>
        </is>
      </c>
      <c r="K651" t="n">
        <v>24</v>
      </c>
      <c r="M651" s="71" t="n">
        <v>46630</v>
      </c>
      <c r="N651" s="71" t="n">
        <v>46630</v>
      </c>
      <c r="O651" s="71" t="n">
        <v>46630</v>
      </c>
      <c r="P651" t="n">
        <v>8300.060365853658</v>
      </c>
      <c r="V651" t="n">
        <v>1</v>
      </c>
      <c r="W651" t="inlineStr">
        <is>
          <t>BALANCE TASAS</t>
        </is>
      </c>
      <c r="Y651" t="inlineStr">
        <is>
          <t>BALANCE TASAS</t>
        </is>
      </c>
      <c r="Z651" t="inlineStr">
        <is>
          <t>HTM</t>
        </is>
      </c>
      <c r="AA651" t="n">
        <v>1</v>
      </c>
    </row>
    <row r="652">
      <c r="A652" s="71" t="n">
        <v>45923</v>
      </c>
      <c r="B652" t="n">
        <v>1</v>
      </c>
      <c r="D652" t="inlineStr">
        <is>
          <t>PAS</t>
        </is>
      </c>
      <c r="E652" t="inlineStr">
        <is>
          <t>CLF</t>
        </is>
      </c>
      <c r="F652" t="inlineStr">
        <is>
          <t>CLF</t>
        </is>
      </c>
      <c r="H652" t="inlineStr">
        <is>
          <t>MT_CTA. AHORRO</t>
        </is>
      </c>
      <c r="I652" t="inlineStr">
        <is>
          <t>CTA. AHORRO G.INC_CORE_CORE</t>
        </is>
      </c>
      <c r="K652" t="n">
        <v>25</v>
      </c>
      <c r="M652" s="71" t="n">
        <v>46660</v>
      </c>
      <c r="N652" s="71" t="n">
        <v>46660</v>
      </c>
      <c r="O652" s="71" t="n">
        <v>46660</v>
      </c>
      <c r="P652" t="n">
        <v>8300.060365853658</v>
      </c>
      <c r="V652" t="n">
        <v>1</v>
      </c>
      <c r="W652" t="inlineStr">
        <is>
          <t>BALANCE TASAS</t>
        </is>
      </c>
      <c r="Y652" t="inlineStr">
        <is>
          <t>BALANCE TASAS</t>
        </is>
      </c>
      <c r="Z652" t="inlineStr">
        <is>
          <t>HTM</t>
        </is>
      </c>
      <c r="AA652" t="n">
        <v>1</v>
      </c>
    </row>
    <row r="653">
      <c r="A653" s="71" t="n">
        <v>45923</v>
      </c>
      <c r="B653" t="n">
        <v>1</v>
      </c>
      <c r="D653" t="inlineStr">
        <is>
          <t>PAS</t>
        </is>
      </c>
      <c r="E653" t="inlineStr">
        <is>
          <t>CLF</t>
        </is>
      </c>
      <c r="F653" t="inlineStr">
        <is>
          <t>CLF</t>
        </is>
      </c>
      <c r="H653" t="inlineStr">
        <is>
          <t>MT_CTA. AHORRO</t>
        </is>
      </c>
      <c r="I653" t="inlineStr">
        <is>
          <t>CTA. AHORRO G.INC_CORE_CORE</t>
        </is>
      </c>
      <c r="K653" t="n">
        <v>26</v>
      </c>
      <c r="M653" s="71" t="n">
        <v>46691</v>
      </c>
      <c r="N653" s="71" t="n">
        <v>46691</v>
      </c>
      <c r="O653" s="71" t="n">
        <v>46691</v>
      </c>
      <c r="P653" t="n">
        <v>8300.060365853658</v>
      </c>
      <c r="V653" t="n">
        <v>1</v>
      </c>
      <c r="W653" t="inlineStr">
        <is>
          <t>BALANCE TASAS</t>
        </is>
      </c>
      <c r="Y653" t="inlineStr">
        <is>
          <t>BALANCE TASAS</t>
        </is>
      </c>
      <c r="Z653" t="inlineStr">
        <is>
          <t>HTM</t>
        </is>
      </c>
      <c r="AA653" t="n">
        <v>1</v>
      </c>
    </row>
    <row r="654">
      <c r="A654" s="71" t="n">
        <v>45923</v>
      </c>
      <c r="B654" t="n">
        <v>1</v>
      </c>
      <c r="D654" t="inlineStr">
        <is>
          <t>PAS</t>
        </is>
      </c>
      <c r="E654" t="inlineStr">
        <is>
          <t>CLF</t>
        </is>
      </c>
      <c r="F654" t="inlineStr">
        <is>
          <t>CLF</t>
        </is>
      </c>
      <c r="H654" t="inlineStr">
        <is>
          <t>MT_CTA. AHORRO</t>
        </is>
      </c>
      <c r="I654" t="inlineStr">
        <is>
          <t>CTA. AHORRO G.INC_CORE_CORE</t>
        </is>
      </c>
      <c r="K654" t="n">
        <v>27</v>
      </c>
      <c r="M654" s="71" t="n">
        <v>46721</v>
      </c>
      <c r="N654" s="71" t="n">
        <v>46721</v>
      </c>
      <c r="O654" s="71" t="n">
        <v>46721</v>
      </c>
      <c r="P654" t="n">
        <v>8300.060365853658</v>
      </c>
      <c r="V654" t="n">
        <v>1</v>
      </c>
      <c r="W654" t="inlineStr">
        <is>
          <t>BALANCE TASAS</t>
        </is>
      </c>
      <c r="Y654" t="inlineStr">
        <is>
          <t>BALANCE TASAS</t>
        </is>
      </c>
      <c r="Z654" t="inlineStr">
        <is>
          <t>HTM</t>
        </is>
      </c>
      <c r="AA654" t="n">
        <v>1</v>
      </c>
    </row>
    <row r="655">
      <c r="A655" s="71" t="n">
        <v>45923</v>
      </c>
      <c r="B655" t="n">
        <v>1</v>
      </c>
      <c r="D655" t="inlineStr">
        <is>
          <t>PAS</t>
        </is>
      </c>
      <c r="E655" t="inlineStr">
        <is>
          <t>CLF</t>
        </is>
      </c>
      <c r="F655" t="inlineStr">
        <is>
          <t>CLF</t>
        </is>
      </c>
      <c r="H655" t="inlineStr">
        <is>
          <t>MT_CTA. AHORRO</t>
        </is>
      </c>
      <c r="I655" t="inlineStr">
        <is>
          <t>CTA. AHORRO G.INC_CORE_CORE</t>
        </is>
      </c>
      <c r="K655" t="n">
        <v>28</v>
      </c>
      <c r="M655" s="71" t="n">
        <v>46752</v>
      </c>
      <c r="N655" s="71" t="n">
        <v>46752</v>
      </c>
      <c r="O655" s="71" t="n">
        <v>46752</v>
      </c>
      <c r="P655" t="n">
        <v>8300.060365853658</v>
      </c>
      <c r="V655" t="n">
        <v>1</v>
      </c>
      <c r="W655" t="inlineStr">
        <is>
          <t>BALANCE TASAS</t>
        </is>
      </c>
      <c r="Y655" t="inlineStr">
        <is>
          <t>BALANCE TASAS</t>
        </is>
      </c>
      <c r="Z655" t="inlineStr">
        <is>
          <t>HTM</t>
        </is>
      </c>
      <c r="AA655" t="n">
        <v>1</v>
      </c>
    </row>
    <row r="656">
      <c r="A656" s="71" t="n">
        <v>45923</v>
      </c>
      <c r="B656" t="n">
        <v>1</v>
      </c>
      <c r="D656" t="inlineStr">
        <is>
          <t>PAS</t>
        </is>
      </c>
      <c r="E656" t="inlineStr">
        <is>
          <t>CLF</t>
        </is>
      </c>
      <c r="F656" t="inlineStr">
        <is>
          <t>CLF</t>
        </is>
      </c>
      <c r="H656" t="inlineStr">
        <is>
          <t>MT_CTA. AHORRO</t>
        </is>
      </c>
      <c r="I656" t="inlineStr">
        <is>
          <t>CTA. AHORRO G.INC_CORE_CORE</t>
        </is>
      </c>
      <c r="K656" t="n">
        <v>29</v>
      </c>
      <c r="M656" s="71" t="n">
        <v>46783</v>
      </c>
      <c r="N656" s="71" t="n">
        <v>46783</v>
      </c>
      <c r="O656" s="71" t="n">
        <v>46783</v>
      </c>
      <c r="P656" t="n">
        <v>8300.060365853658</v>
      </c>
      <c r="V656" t="n">
        <v>1</v>
      </c>
      <c r="W656" t="inlineStr">
        <is>
          <t>BALANCE TASAS</t>
        </is>
      </c>
      <c r="Y656" t="inlineStr">
        <is>
          <t>BALANCE TASAS</t>
        </is>
      </c>
      <c r="Z656" t="inlineStr">
        <is>
          <t>HTM</t>
        </is>
      </c>
      <c r="AA656" t="n">
        <v>1</v>
      </c>
    </row>
    <row r="657">
      <c r="A657" s="71" t="n">
        <v>45923</v>
      </c>
      <c r="B657" t="n">
        <v>1</v>
      </c>
      <c r="D657" t="inlineStr">
        <is>
          <t>PAS</t>
        </is>
      </c>
      <c r="E657" t="inlineStr">
        <is>
          <t>CLF</t>
        </is>
      </c>
      <c r="F657" t="inlineStr">
        <is>
          <t>CLF</t>
        </is>
      </c>
      <c r="H657" t="inlineStr">
        <is>
          <t>MT_CTA. AHORRO</t>
        </is>
      </c>
      <c r="I657" t="inlineStr">
        <is>
          <t>CTA. AHORRO G.INC_CORE_CORE</t>
        </is>
      </c>
      <c r="K657" t="n">
        <v>30</v>
      </c>
      <c r="M657" s="71" t="n">
        <v>46812</v>
      </c>
      <c r="N657" s="71" t="n">
        <v>46812</v>
      </c>
      <c r="O657" s="71" t="n">
        <v>46812</v>
      </c>
      <c r="P657" t="n">
        <v>8300.060365853658</v>
      </c>
      <c r="V657" t="n">
        <v>1</v>
      </c>
      <c r="W657" t="inlineStr">
        <is>
          <t>BALANCE TASAS</t>
        </is>
      </c>
      <c r="Y657" t="inlineStr">
        <is>
          <t>BALANCE TASAS</t>
        </is>
      </c>
      <c r="Z657" t="inlineStr">
        <is>
          <t>HTM</t>
        </is>
      </c>
      <c r="AA657" t="n">
        <v>1</v>
      </c>
    </row>
    <row r="658">
      <c r="A658" s="71" t="n">
        <v>45923</v>
      </c>
      <c r="B658" t="n">
        <v>1</v>
      </c>
      <c r="D658" t="inlineStr">
        <is>
          <t>PAS</t>
        </is>
      </c>
      <c r="E658" t="inlineStr">
        <is>
          <t>CLF</t>
        </is>
      </c>
      <c r="F658" t="inlineStr">
        <is>
          <t>CLF</t>
        </is>
      </c>
      <c r="H658" t="inlineStr">
        <is>
          <t>MT_CTA. AHORRO</t>
        </is>
      </c>
      <c r="I658" t="inlineStr">
        <is>
          <t>CTA. AHORRO G.INC_CORE_CORE</t>
        </is>
      </c>
      <c r="K658" t="n">
        <v>31</v>
      </c>
      <c r="M658" s="71" t="n">
        <v>46843</v>
      </c>
      <c r="N658" s="71" t="n">
        <v>46843</v>
      </c>
      <c r="O658" s="71" t="n">
        <v>46843</v>
      </c>
      <c r="P658" t="n">
        <v>8300.060365853658</v>
      </c>
      <c r="V658" t="n">
        <v>1</v>
      </c>
      <c r="W658" t="inlineStr">
        <is>
          <t>BALANCE TASAS</t>
        </is>
      </c>
      <c r="Y658" t="inlineStr">
        <is>
          <t>BALANCE TASAS</t>
        </is>
      </c>
      <c r="Z658" t="inlineStr">
        <is>
          <t>HTM</t>
        </is>
      </c>
      <c r="AA658" t="n">
        <v>1</v>
      </c>
    </row>
    <row r="659">
      <c r="A659" s="71" t="n">
        <v>45923</v>
      </c>
      <c r="B659" t="n">
        <v>1</v>
      </c>
      <c r="D659" t="inlineStr">
        <is>
          <t>PAS</t>
        </is>
      </c>
      <c r="E659" t="inlineStr">
        <is>
          <t>CLF</t>
        </is>
      </c>
      <c r="F659" t="inlineStr">
        <is>
          <t>CLF</t>
        </is>
      </c>
      <c r="H659" t="inlineStr">
        <is>
          <t>MT_CTA. AHORRO</t>
        </is>
      </c>
      <c r="I659" t="inlineStr">
        <is>
          <t>CTA. AHORRO G.INC_CORE_CORE</t>
        </is>
      </c>
      <c r="K659" t="n">
        <v>32</v>
      </c>
      <c r="M659" s="71" t="n">
        <v>46873</v>
      </c>
      <c r="N659" s="71" t="n">
        <v>46873</v>
      </c>
      <c r="O659" s="71" t="n">
        <v>46873</v>
      </c>
      <c r="P659" t="n">
        <v>8300.060365853658</v>
      </c>
      <c r="V659" t="n">
        <v>1</v>
      </c>
      <c r="W659" t="inlineStr">
        <is>
          <t>BALANCE TASAS</t>
        </is>
      </c>
      <c r="Y659" t="inlineStr">
        <is>
          <t>BALANCE TASAS</t>
        </is>
      </c>
      <c r="Z659" t="inlineStr">
        <is>
          <t>HTM</t>
        </is>
      </c>
      <c r="AA659" t="n">
        <v>1</v>
      </c>
    </row>
    <row r="660">
      <c r="A660" s="71" t="n">
        <v>45923</v>
      </c>
      <c r="B660" t="n">
        <v>1</v>
      </c>
      <c r="D660" t="inlineStr">
        <is>
          <t>PAS</t>
        </is>
      </c>
      <c r="E660" t="inlineStr">
        <is>
          <t>CLF</t>
        </is>
      </c>
      <c r="F660" t="inlineStr">
        <is>
          <t>CLF</t>
        </is>
      </c>
      <c r="H660" t="inlineStr">
        <is>
          <t>MT_CTA. AHORRO</t>
        </is>
      </c>
      <c r="I660" t="inlineStr">
        <is>
          <t>CTA. AHORRO G.INC_CORE_CORE</t>
        </is>
      </c>
      <c r="K660" t="n">
        <v>33</v>
      </c>
      <c r="M660" s="71" t="n">
        <v>46904</v>
      </c>
      <c r="N660" s="71" t="n">
        <v>46904</v>
      </c>
      <c r="O660" s="71" t="n">
        <v>46904</v>
      </c>
      <c r="P660" t="n">
        <v>8300.060365853658</v>
      </c>
      <c r="V660" t="n">
        <v>1</v>
      </c>
      <c r="W660" t="inlineStr">
        <is>
          <t>BALANCE TASAS</t>
        </is>
      </c>
      <c r="Y660" t="inlineStr">
        <is>
          <t>BALANCE TASAS</t>
        </is>
      </c>
      <c r="Z660" t="inlineStr">
        <is>
          <t>HTM</t>
        </is>
      </c>
      <c r="AA660" t="n">
        <v>1</v>
      </c>
    </row>
    <row r="661">
      <c r="A661" s="71" t="n">
        <v>45923</v>
      </c>
      <c r="B661" t="n">
        <v>1</v>
      </c>
      <c r="D661" t="inlineStr">
        <is>
          <t>PAS</t>
        </is>
      </c>
      <c r="E661" t="inlineStr">
        <is>
          <t>CLF</t>
        </is>
      </c>
      <c r="F661" t="inlineStr">
        <is>
          <t>CLF</t>
        </is>
      </c>
      <c r="H661" t="inlineStr">
        <is>
          <t>MT_CTA. AHORRO</t>
        </is>
      </c>
      <c r="I661" t="inlineStr">
        <is>
          <t>CTA. AHORRO G.INC_CORE_CORE</t>
        </is>
      </c>
      <c r="K661" t="n">
        <v>34</v>
      </c>
      <c r="M661" s="71" t="n">
        <v>46934</v>
      </c>
      <c r="N661" s="71" t="n">
        <v>46934</v>
      </c>
      <c r="O661" s="71" t="n">
        <v>46934</v>
      </c>
      <c r="P661" t="n">
        <v>8300.060365853658</v>
      </c>
      <c r="V661" t="n">
        <v>1</v>
      </c>
      <c r="W661" t="inlineStr">
        <is>
          <t>BALANCE TASAS</t>
        </is>
      </c>
      <c r="Y661" t="inlineStr">
        <is>
          <t>BALANCE TASAS</t>
        </is>
      </c>
      <c r="Z661" t="inlineStr">
        <is>
          <t>HTM</t>
        </is>
      </c>
      <c r="AA661" t="n">
        <v>1</v>
      </c>
    </row>
    <row r="662">
      <c r="A662" s="71" t="n">
        <v>45923</v>
      </c>
      <c r="B662" t="n">
        <v>1</v>
      </c>
      <c r="D662" t="inlineStr">
        <is>
          <t>PAS</t>
        </is>
      </c>
      <c r="E662" t="inlineStr">
        <is>
          <t>CLF</t>
        </is>
      </c>
      <c r="F662" t="inlineStr">
        <is>
          <t>CLF</t>
        </is>
      </c>
      <c r="H662" t="inlineStr">
        <is>
          <t>MT_CTA. AHORRO</t>
        </is>
      </c>
      <c r="I662" t="inlineStr">
        <is>
          <t>CTA. AHORRO G.INC_CORE_CORE</t>
        </is>
      </c>
      <c r="K662" t="n">
        <v>35</v>
      </c>
      <c r="M662" s="71" t="n">
        <v>46965</v>
      </c>
      <c r="N662" s="71" t="n">
        <v>46965</v>
      </c>
      <c r="O662" s="71" t="n">
        <v>46965</v>
      </c>
      <c r="P662" t="n">
        <v>8300.060365853658</v>
      </c>
      <c r="V662" t="n">
        <v>1</v>
      </c>
      <c r="W662" t="inlineStr">
        <is>
          <t>BALANCE TASAS</t>
        </is>
      </c>
      <c r="Y662" t="inlineStr">
        <is>
          <t>BALANCE TASAS</t>
        </is>
      </c>
      <c r="Z662" t="inlineStr">
        <is>
          <t>HTM</t>
        </is>
      </c>
      <c r="AA662" t="n">
        <v>1</v>
      </c>
    </row>
    <row r="663">
      <c r="A663" s="71" t="n">
        <v>45923</v>
      </c>
      <c r="B663" t="n">
        <v>1</v>
      </c>
      <c r="D663" t="inlineStr">
        <is>
          <t>PAS</t>
        </is>
      </c>
      <c r="E663" t="inlineStr">
        <is>
          <t>CLF</t>
        </is>
      </c>
      <c r="F663" t="inlineStr">
        <is>
          <t>CLF</t>
        </is>
      </c>
      <c r="H663" t="inlineStr">
        <is>
          <t>MT_CTA. AHORRO</t>
        </is>
      </c>
      <c r="I663" t="inlineStr">
        <is>
          <t>CTA. AHORRO G.INC_CORE_CORE</t>
        </is>
      </c>
      <c r="K663" t="n">
        <v>36</v>
      </c>
      <c r="M663" s="71" t="n">
        <v>46996</v>
      </c>
      <c r="N663" s="71" t="n">
        <v>46996</v>
      </c>
      <c r="O663" s="71" t="n">
        <v>46996</v>
      </c>
      <c r="P663" t="n">
        <v>8300.060365853658</v>
      </c>
      <c r="V663" t="n">
        <v>1</v>
      </c>
      <c r="W663" t="inlineStr">
        <is>
          <t>BALANCE TASAS</t>
        </is>
      </c>
      <c r="Y663" t="inlineStr">
        <is>
          <t>BALANCE TASAS</t>
        </is>
      </c>
      <c r="Z663" t="inlineStr">
        <is>
          <t>HTM</t>
        </is>
      </c>
      <c r="AA663" t="n">
        <v>1</v>
      </c>
    </row>
    <row r="664">
      <c r="A664" s="71" t="n">
        <v>45923</v>
      </c>
      <c r="B664" t="n">
        <v>1</v>
      </c>
      <c r="D664" t="inlineStr">
        <is>
          <t>PAS</t>
        </is>
      </c>
      <c r="E664" t="inlineStr">
        <is>
          <t>CLF</t>
        </is>
      </c>
      <c r="F664" t="inlineStr">
        <is>
          <t>CLF</t>
        </is>
      </c>
      <c r="H664" t="inlineStr">
        <is>
          <t>MT_CTA. AHORRO</t>
        </is>
      </c>
      <c r="I664" t="inlineStr">
        <is>
          <t>CTA. AHORRO G.INC_CORE_CORE</t>
        </is>
      </c>
      <c r="K664" t="n">
        <v>37</v>
      </c>
      <c r="M664" s="71" t="n">
        <v>47026</v>
      </c>
      <c r="N664" s="71" t="n">
        <v>47026</v>
      </c>
      <c r="O664" s="71" t="n">
        <v>47026</v>
      </c>
      <c r="P664" t="n">
        <v>8300.060365853658</v>
      </c>
      <c r="V664" t="n">
        <v>1</v>
      </c>
      <c r="W664" t="inlineStr">
        <is>
          <t>BALANCE TASAS</t>
        </is>
      </c>
      <c r="Y664" t="inlineStr">
        <is>
          <t>BALANCE TASAS</t>
        </is>
      </c>
      <c r="Z664" t="inlineStr">
        <is>
          <t>HTM</t>
        </is>
      </c>
      <c r="AA664" t="n">
        <v>1</v>
      </c>
    </row>
    <row r="665">
      <c r="A665" s="71" t="n">
        <v>45923</v>
      </c>
      <c r="B665" t="n">
        <v>1</v>
      </c>
      <c r="D665" t="inlineStr">
        <is>
          <t>PAS</t>
        </is>
      </c>
      <c r="E665" t="inlineStr">
        <is>
          <t>CLF</t>
        </is>
      </c>
      <c r="F665" t="inlineStr">
        <is>
          <t>CLF</t>
        </is>
      </c>
      <c r="H665" t="inlineStr">
        <is>
          <t>MT_CTA. AHORRO</t>
        </is>
      </c>
      <c r="I665" t="inlineStr">
        <is>
          <t>CTA. AHORRO G.INC_CORE_CORE</t>
        </is>
      </c>
      <c r="K665" t="n">
        <v>38</v>
      </c>
      <c r="M665" s="71" t="n">
        <v>47057</v>
      </c>
      <c r="N665" s="71" t="n">
        <v>47057</v>
      </c>
      <c r="O665" s="71" t="n">
        <v>47057</v>
      </c>
      <c r="P665" t="n">
        <v>8300.060365853658</v>
      </c>
      <c r="V665" t="n">
        <v>1</v>
      </c>
      <c r="W665" t="inlineStr">
        <is>
          <t>BALANCE TASAS</t>
        </is>
      </c>
      <c r="Y665" t="inlineStr">
        <is>
          <t>BALANCE TASAS</t>
        </is>
      </c>
      <c r="Z665" t="inlineStr">
        <is>
          <t>HTM</t>
        </is>
      </c>
      <c r="AA665" t="n">
        <v>1</v>
      </c>
    </row>
    <row r="666">
      <c r="A666" s="71" t="n">
        <v>45923</v>
      </c>
      <c r="B666" t="n">
        <v>1</v>
      </c>
      <c r="D666" t="inlineStr">
        <is>
          <t>PAS</t>
        </is>
      </c>
      <c r="E666" t="inlineStr">
        <is>
          <t>CLF</t>
        </is>
      </c>
      <c r="F666" t="inlineStr">
        <is>
          <t>CLF</t>
        </is>
      </c>
      <c r="H666" t="inlineStr">
        <is>
          <t>MT_CTA. AHORRO</t>
        </is>
      </c>
      <c r="I666" t="inlineStr">
        <is>
          <t>CTA. AHORRO G.INC_CORE_CORE</t>
        </is>
      </c>
      <c r="K666" t="n">
        <v>39</v>
      </c>
      <c r="M666" s="71" t="n">
        <v>47087</v>
      </c>
      <c r="N666" s="71" t="n">
        <v>47087</v>
      </c>
      <c r="O666" s="71" t="n">
        <v>47087</v>
      </c>
      <c r="P666" t="n">
        <v>8300.060365853658</v>
      </c>
      <c r="V666" t="n">
        <v>1</v>
      </c>
      <c r="W666" t="inlineStr">
        <is>
          <t>BALANCE TASAS</t>
        </is>
      </c>
      <c r="Y666" t="inlineStr">
        <is>
          <t>BALANCE TASAS</t>
        </is>
      </c>
      <c r="Z666" t="inlineStr">
        <is>
          <t>HTM</t>
        </is>
      </c>
      <c r="AA666" t="n">
        <v>1</v>
      </c>
    </row>
    <row r="667">
      <c r="A667" s="71" t="n">
        <v>45923</v>
      </c>
      <c r="B667" t="n">
        <v>1</v>
      </c>
      <c r="D667" t="inlineStr">
        <is>
          <t>PAS</t>
        </is>
      </c>
      <c r="E667" t="inlineStr">
        <is>
          <t>CLF</t>
        </is>
      </c>
      <c r="F667" t="inlineStr">
        <is>
          <t>CLF</t>
        </is>
      </c>
      <c r="H667" t="inlineStr">
        <is>
          <t>MT_CTA. AHORRO</t>
        </is>
      </c>
      <c r="I667" t="inlineStr">
        <is>
          <t>CTA. AHORRO G.INC_CORE_CORE</t>
        </is>
      </c>
      <c r="K667" t="n">
        <v>40</v>
      </c>
      <c r="M667" s="71" t="n">
        <v>47118</v>
      </c>
      <c r="N667" s="71" t="n">
        <v>47118</v>
      </c>
      <c r="O667" s="71" t="n">
        <v>47118</v>
      </c>
      <c r="P667" t="n">
        <v>8300.060365853658</v>
      </c>
      <c r="V667" t="n">
        <v>1</v>
      </c>
      <c r="W667" t="inlineStr">
        <is>
          <t>BALANCE TASAS</t>
        </is>
      </c>
      <c r="Y667" t="inlineStr">
        <is>
          <t>BALANCE TASAS</t>
        </is>
      </c>
      <c r="Z667" t="inlineStr">
        <is>
          <t>HTM</t>
        </is>
      </c>
      <c r="AA667" t="n">
        <v>1</v>
      </c>
    </row>
    <row r="668">
      <c r="A668" s="71" t="n">
        <v>45923</v>
      </c>
      <c r="B668" t="n">
        <v>1</v>
      </c>
      <c r="D668" t="inlineStr">
        <is>
          <t>PAS</t>
        </is>
      </c>
      <c r="E668" t="inlineStr">
        <is>
          <t>CLF</t>
        </is>
      </c>
      <c r="F668" t="inlineStr">
        <is>
          <t>CLF</t>
        </is>
      </c>
      <c r="H668" t="inlineStr">
        <is>
          <t>MT_CTA. AHORRO</t>
        </is>
      </c>
      <c r="I668" t="inlineStr">
        <is>
          <t>CTA. AHORRO G.INC_CORE_CORE</t>
        </is>
      </c>
      <c r="K668" t="n">
        <v>41</v>
      </c>
      <c r="M668" s="71" t="n">
        <v>47149</v>
      </c>
      <c r="N668" s="71" t="n">
        <v>47149</v>
      </c>
      <c r="O668" s="71" t="n">
        <v>47149</v>
      </c>
      <c r="P668" t="n">
        <v>8300.060365853658</v>
      </c>
      <c r="V668" t="n">
        <v>1</v>
      </c>
      <c r="W668" t="inlineStr">
        <is>
          <t>BALANCE TASAS</t>
        </is>
      </c>
      <c r="Y668" t="inlineStr">
        <is>
          <t>BALANCE TASAS</t>
        </is>
      </c>
      <c r="Z668" t="inlineStr">
        <is>
          <t>HTM</t>
        </is>
      </c>
      <c r="AA668" t="n">
        <v>1</v>
      </c>
    </row>
    <row r="669">
      <c r="A669" s="71" t="n">
        <v>45923</v>
      </c>
      <c r="B669" t="n">
        <v>1</v>
      </c>
      <c r="D669" t="inlineStr">
        <is>
          <t>PAS</t>
        </is>
      </c>
      <c r="E669" t="inlineStr">
        <is>
          <t>CLF</t>
        </is>
      </c>
      <c r="F669" t="inlineStr">
        <is>
          <t>CLF</t>
        </is>
      </c>
      <c r="H669" t="inlineStr">
        <is>
          <t>MT_CTA. AHORRO</t>
        </is>
      </c>
      <c r="I669" t="inlineStr">
        <is>
          <t>CTA. AHORRO G.INC_CORE_CORE</t>
        </is>
      </c>
      <c r="K669" t="n">
        <v>42</v>
      </c>
      <c r="M669" s="71" t="n">
        <v>47177</v>
      </c>
      <c r="N669" s="71" t="n">
        <v>47177</v>
      </c>
      <c r="O669" s="71" t="n">
        <v>47177</v>
      </c>
      <c r="P669" t="n">
        <v>8300.060365853658</v>
      </c>
      <c r="V669" t="n">
        <v>1</v>
      </c>
      <c r="W669" t="inlineStr">
        <is>
          <t>BALANCE TASAS</t>
        </is>
      </c>
      <c r="Y669" t="inlineStr">
        <is>
          <t>BALANCE TASAS</t>
        </is>
      </c>
      <c r="Z669" t="inlineStr">
        <is>
          <t>HTM</t>
        </is>
      </c>
      <c r="AA669" t="n">
        <v>1</v>
      </c>
    </row>
    <row r="670">
      <c r="A670" s="71" t="n">
        <v>45923</v>
      </c>
      <c r="B670" t="n">
        <v>1</v>
      </c>
      <c r="D670" t="inlineStr">
        <is>
          <t>PAS</t>
        </is>
      </c>
      <c r="E670" t="inlineStr">
        <is>
          <t>CLF</t>
        </is>
      </c>
      <c r="F670" t="inlineStr">
        <is>
          <t>CLF</t>
        </is>
      </c>
      <c r="H670" t="inlineStr">
        <is>
          <t>MT_CTA. AHORRO</t>
        </is>
      </c>
      <c r="I670" t="inlineStr">
        <is>
          <t>CTA. AHORRO G.INC_CORE_CORE</t>
        </is>
      </c>
      <c r="K670" t="n">
        <v>43</v>
      </c>
      <c r="M670" s="71" t="n">
        <v>47208</v>
      </c>
      <c r="N670" s="71" t="n">
        <v>47208</v>
      </c>
      <c r="O670" s="71" t="n">
        <v>47208</v>
      </c>
      <c r="P670" t="n">
        <v>8300.060365853658</v>
      </c>
      <c r="V670" t="n">
        <v>1</v>
      </c>
      <c r="W670" t="inlineStr">
        <is>
          <t>BALANCE TASAS</t>
        </is>
      </c>
      <c r="Y670" t="inlineStr">
        <is>
          <t>BALANCE TASAS</t>
        </is>
      </c>
      <c r="Z670" t="inlineStr">
        <is>
          <t>HTM</t>
        </is>
      </c>
      <c r="AA670" t="n">
        <v>1</v>
      </c>
    </row>
    <row r="671">
      <c r="A671" s="71" t="n">
        <v>45923</v>
      </c>
      <c r="B671" t="n">
        <v>1</v>
      </c>
      <c r="D671" t="inlineStr">
        <is>
          <t>PAS</t>
        </is>
      </c>
      <c r="E671" t="inlineStr">
        <is>
          <t>CLF</t>
        </is>
      </c>
      <c r="F671" t="inlineStr">
        <is>
          <t>CLF</t>
        </is>
      </c>
      <c r="H671" t="inlineStr">
        <is>
          <t>MT_CTA. AHORRO</t>
        </is>
      </c>
      <c r="I671" t="inlineStr">
        <is>
          <t>CTA. AHORRO G.INC_CORE_CORE</t>
        </is>
      </c>
      <c r="K671" t="n">
        <v>44</v>
      </c>
      <c r="M671" s="71" t="n">
        <v>47238</v>
      </c>
      <c r="N671" s="71" t="n">
        <v>47238</v>
      </c>
      <c r="O671" s="71" t="n">
        <v>47238</v>
      </c>
      <c r="P671" t="n">
        <v>8300.060365853658</v>
      </c>
      <c r="V671" t="n">
        <v>1</v>
      </c>
      <c r="W671" t="inlineStr">
        <is>
          <t>BALANCE TASAS</t>
        </is>
      </c>
      <c r="Y671" t="inlineStr">
        <is>
          <t>BALANCE TASAS</t>
        </is>
      </c>
      <c r="Z671" t="inlineStr">
        <is>
          <t>HTM</t>
        </is>
      </c>
      <c r="AA671" t="n">
        <v>1</v>
      </c>
    </row>
    <row r="672">
      <c r="A672" s="71" t="n">
        <v>45923</v>
      </c>
      <c r="B672" t="n">
        <v>1</v>
      </c>
      <c r="D672" t="inlineStr">
        <is>
          <t>PAS</t>
        </is>
      </c>
      <c r="E672" t="inlineStr">
        <is>
          <t>CLF</t>
        </is>
      </c>
      <c r="F672" t="inlineStr">
        <is>
          <t>CLF</t>
        </is>
      </c>
      <c r="H672" t="inlineStr">
        <is>
          <t>MT_CTA. AHORRO</t>
        </is>
      </c>
      <c r="I672" t="inlineStr">
        <is>
          <t>CTA. AHORRO G.INC_CORE_CORE</t>
        </is>
      </c>
      <c r="K672" t="n">
        <v>45</v>
      </c>
      <c r="M672" s="71" t="n">
        <v>47269</v>
      </c>
      <c r="N672" s="71" t="n">
        <v>47269</v>
      </c>
      <c r="O672" s="71" t="n">
        <v>47269</v>
      </c>
      <c r="P672" t="n">
        <v>8300.060365853658</v>
      </c>
      <c r="V672" t="n">
        <v>1</v>
      </c>
      <c r="W672" t="inlineStr">
        <is>
          <t>BALANCE TASAS</t>
        </is>
      </c>
      <c r="Y672" t="inlineStr">
        <is>
          <t>BALANCE TASAS</t>
        </is>
      </c>
      <c r="Z672" t="inlineStr">
        <is>
          <t>HTM</t>
        </is>
      </c>
      <c r="AA672" t="n">
        <v>1</v>
      </c>
    </row>
    <row r="673">
      <c r="A673" s="71" t="n">
        <v>45923</v>
      </c>
      <c r="B673" t="n">
        <v>1</v>
      </c>
      <c r="D673" t="inlineStr">
        <is>
          <t>PAS</t>
        </is>
      </c>
      <c r="E673" t="inlineStr">
        <is>
          <t>CLF</t>
        </is>
      </c>
      <c r="F673" t="inlineStr">
        <is>
          <t>CLF</t>
        </is>
      </c>
      <c r="H673" t="inlineStr">
        <is>
          <t>MT_CTA. AHORRO</t>
        </is>
      </c>
      <c r="I673" t="inlineStr">
        <is>
          <t>CTA. AHORRO G.INC_CORE_CORE</t>
        </is>
      </c>
      <c r="K673" t="n">
        <v>46</v>
      </c>
      <c r="M673" s="71" t="n">
        <v>47299</v>
      </c>
      <c r="N673" s="71" t="n">
        <v>47299</v>
      </c>
      <c r="O673" s="71" t="n">
        <v>47299</v>
      </c>
      <c r="P673" t="n">
        <v>8300.060365853658</v>
      </c>
      <c r="V673" t="n">
        <v>1</v>
      </c>
      <c r="W673" t="inlineStr">
        <is>
          <t>BALANCE TASAS</t>
        </is>
      </c>
      <c r="Y673" t="inlineStr">
        <is>
          <t>BALANCE TASAS</t>
        </is>
      </c>
      <c r="Z673" t="inlineStr">
        <is>
          <t>HTM</t>
        </is>
      </c>
      <c r="AA673" t="n">
        <v>1</v>
      </c>
    </row>
    <row r="674">
      <c r="A674" s="71" t="n">
        <v>45923</v>
      </c>
      <c r="B674" t="n">
        <v>1</v>
      </c>
      <c r="D674" t="inlineStr">
        <is>
          <t>PAS</t>
        </is>
      </c>
      <c r="E674" t="inlineStr">
        <is>
          <t>CLF</t>
        </is>
      </c>
      <c r="F674" t="inlineStr">
        <is>
          <t>CLF</t>
        </is>
      </c>
      <c r="H674" t="inlineStr">
        <is>
          <t>MT_CTA. AHORRO</t>
        </is>
      </c>
      <c r="I674" t="inlineStr">
        <is>
          <t>CTA. AHORRO G.INC_CORE_CORE</t>
        </is>
      </c>
      <c r="K674" t="n">
        <v>47</v>
      </c>
      <c r="M674" s="71" t="n">
        <v>47330</v>
      </c>
      <c r="N674" s="71" t="n">
        <v>47330</v>
      </c>
      <c r="O674" s="71" t="n">
        <v>47330</v>
      </c>
      <c r="P674" t="n">
        <v>8300.060365853658</v>
      </c>
      <c r="V674" t="n">
        <v>1</v>
      </c>
      <c r="W674" t="inlineStr">
        <is>
          <t>BALANCE TASAS</t>
        </is>
      </c>
      <c r="Y674" t="inlineStr">
        <is>
          <t>BALANCE TASAS</t>
        </is>
      </c>
      <c r="Z674" t="inlineStr">
        <is>
          <t>HTM</t>
        </is>
      </c>
      <c r="AA674" t="n">
        <v>1</v>
      </c>
    </row>
    <row r="675">
      <c r="A675" s="71" t="n">
        <v>45923</v>
      </c>
      <c r="B675" t="n">
        <v>1</v>
      </c>
      <c r="D675" t="inlineStr">
        <is>
          <t>PAS</t>
        </is>
      </c>
      <c r="E675" t="inlineStr">
        <is>
          <t>CLF</t>
        </is>
      </c>
      <c r="F675" t="inlineStr">
        <is>
          <t>CLF</t>
        </is>
      </c>
      <c r="H675" t="inlineStr">
        <is>
          <t>MT_CTA. AHORRO</t>
        </is>
      </c>
      <c r="I675" t="inlineStr">
        <is>
          <t>CTA. AHORRO G.INC_CORE_CORE</t>
        </is>
      </c>
      <c r="K675" t="n">
        <v>48</v>
      </c>
      <c r="M675" s="71" t="n">
        <v>47361</v>
      </c>
      <c r="N675" s="71" t="n">
        <v>47361</v>
      </c>
      <c r="O675" s="71" t="n">
        <v>47361</v>
      </c>
      <c r="P675" t="n">
        <v>8300.060365853658</v>
      </c>
      <c r="V675" t="n">
        <v>1</v>
      </c>
      <c r="W675" t="inlineStr">
        <is>
          <t>BALANCE TASAS</t>
        </is>
      </c>
      <c r="Y675" t="inlineStr">
        <is>
          <t>BALANCE TASAS</t>
        </is>
      </c>
      <c r="Z675" t="inlineStr">
        <is>
          <t>HTM</t>
        </is>
      </c>
      <c r="AA675" t="n">
        <v>1</v>
      </c>
    </row>
    <row r="676">
      <c r="A676" s="71" t="n">
        <v>45923</v>
      </c>
      <c r="B676" t="n">
        <v>1</v>
      </c>
      <c r="D676" t="inlineStr">
        <is>
          <t>PAS</t>
        </is>
      </c>
      <c r="E676" t="inlineStr">
        <is>
          <t>CLF</t>
        </is>
      </c>
      <c r="F676" t="inlineStr">
        <is>
          <t>CLF</t>
        </is>
      </c>
      <c r="H676" t="inlineStr">
        <is>
          <t>MT_CTA. AHORRO</t>
        </is>
      </c>
      <c r="I676" t="inlineStr">
        <is>
          <t>CTA. AHORRO G.INC_CORE_CORE</t>
        </is>
      </c>
      <c r="K676" t="n">
        <v>49</v>
      </c>
      <c r="M676" s="71" t="n">
        <v>47391</v>
      </c>
      <c r="N676" s="71" t="n">
        <v>47391</v>
      </c>
      <c r="O676" s="71" t="n">
        <v>47391</v>
      </c>
      <c r="P676" t="n">
        <v>8300.060365853658</v>
      </c>
      <c r="V676" t="n">
        <v>1</v>
      </c>
      <c r="W676" t="inlineStr">
        <is>
          <t>BALANCE TASAS</t>
        </is>
      </c>
      <c r="Y676" t="inlineStr">
        <is>
          <t>BALANCE TASAS</t>
        </is>
      </c>
      <c r="Z676" t="inlineStr">
        <is>
          <t>HTM</t>
        </is>
      </c>
      <c r="AA676" t="n">
        <v>1</v>
      </c>
    </row>
    <row r="677">
      <c r="A677" s="71" t="n">
        <v>45923</v>
      </c>
      <c r="B677" t="n">
        <v>1</v>
      </c>
      <c r="D677" t="inlineStr">
        <is>
          <t>PAS</t>
        </is>
      </c>
      <c r="E677" t="inlineStr">
        <is>
          <t>CLF</t>
        </is>
      </c>
      <c r="F677" t="inlineStr">
        <is>
          <t>CLF</t>
        </is>
      </c>
      <c r="H677" t="inlineStr">
        <is>
          <t>MT_CTA. AHORRO</t>
        </is>
      </c>
      <c r="I677" t="inlineStr">
        <is>
          <t>CTA. AHORRO G.INC_CORE_CORE</t>
        </is>
      </c>
      <c r="K677" t="n">
        <v>50</v>
      </c>
      <c r="M677" s="71" t="n">
        <v>47422</v>
      </c>
      <c r="N677" s="71" t="n">
        <v>47422</v>
      </c>
      <c r="O677" s="71" t="n">
        <v>47422</v>
      </c>
      <c r="P677" t="n">
        <v>8300.060365853658</v>
      </c>
      <c r="V677" t="n">
        <v>1</v>
      </c>
      <c r="W677" t="inlineStr">
        <is>
          <t>BALANCE TASAS</t>
        </is>
      </c>
      <c r="Y677" t="inlineStr">
        <is>
          <t>BALANCE TASAS</t>
        </is>
      </c>
      <c r="Z677" t="inlineStr">
        <is>
          <t>HTM</t>
        </is>
      </c>
      <c r="AA677" t="n">
        <v>1</v>
      </c>
    </row>
    <row r="678">
      <c r="A678" s="71" t="n">
        <v>45923</v>
      </c>
      <c r="B678" t="n">
        <v>1</v>
      </c>
      <c r="D678" t="inlineStr">
        <is>
          <t>PAS</t>
        </is>
      </c>
      <c r="E678" t="inlineStr">
        <is>
          <t>CLF</t>
        </is>
      </c>
      <c r="F678" t="inlineStr">
        <is>
          <t>CLF</t>
        </is>
      </c>
      <c r="H678" t="inlineStr">
        <is>
          <t>MT_CTA. AHORRO</t>
        </is>
      </c>
      <c r="I678" t="inlineStr">
        <is>
          <t>CTA. AHORRO G.INC_CORE_CORE</t>
        </is>
      </c>
      <c r="K678" t="n">
        <v>51</v>
      </c>
      <c r="M678" s="71" t="n">
        <v>47452</v>
      </c>
      <c r="N678" s="71" t="n">
        <v>47452</v>
      </c>
      <c r="O678" s="71" t="n">
        <v>47452</v>
      </c>
      <c r="P678" t="n">
        <v>8300.060365853658</v>
      </c>
      <c r="V678" t="n">
        <v>1</v>
      </c>
      <c r="W678" t="inlineStr">
        <is>
          <t>BALANCE TASAS</t>
        </is>
      </c>
      <c r="Y678" t="inlineStr">
        <is>
          <t>BALANCE TASAS</t>
        </is>
      </c>
      <c r="Z678" t="inlineStr">
        <is>
          <t>HTM</t>
        </is>
      </c>
      <c r="AA678" t="n">
        <v>1</v>
      </c>
    </row>
    <row r="679">
      <c r="A679" s="71" t="n">
        <v>45923</v>
      </c>
      <c r="B679" t="n">
        <v>1</v>
      </c>
      <c r="D679" t="inlineStr">
        <is>
          <t>PAS</t>
        </is>
      </c>
      <c r="E679" t="inlineStr">
        <is>
          <t>CLF</t>
        </is>
      </c>
      <c r="F679" t="inlineStr">
        <is>
          <t>CLF</t>
        </is>
      </c>
      <c r="H679" t="inlineStr">
        <is>
          <t>MT_CTA. AHORRO</t>
        </is>
      </c>
      <c r="I679" t="inlineStr">
        <is>
          <t>CTA. AHORRO G.INC_CORE_CORE</t>
        </is>
      </c>
      <c r="K679" t="n">
        <v>52</v>
      </c>
      <c r="M679" s="71" t="n">
        <v>47483</v>
      </c>
      <c r="N679" s="71" t="n">
        <v>47483</v>
      </c>
      <c r="O679" s="71" t="n">
        <v>47483</v>
      </c>
      <c r="P679" t="n">
        <v>8300.060365853658</v>
      </c>
      <c r="V679" t="n">
        <v>1</v>
      </c>
      <c r="W679" t="inlineStr">
        <is>
          <t>BALANCE TASAS</t>
        </is>
      </c>
      <c r="Y679" t="inlineStr">
        <is>
          <t>BALANCE TASAS</t>
        </is>
      </c>
      <c r="Z679" t="inlineStr">
        <is>
          <t>HTM</t>
        </is>
      </c>
      <c r="AA679" t="n">
        <v>1</v>
      </c>
    </row>
    <row r="680">
      <c r="A680" s="71" t="n">
        <v>45923</v>
      </c>
      <c r="B680" t="n">
        <v>1</v>
      </c>
      <c r="D680" t="inlineStr">
        <is>
          <t>PAS</t>
        </is>
      </c>
      <c r="E680" t="inlineStr">
        <is>
          <t>CLF</t>
        </is>
      </c>
      <c r="F680" t="inlineStr">
        <is>
          <t>CLF</t>
        </is>
      </c>
      <c r="H680" t="inlineStr">
        <is>
          <t>MT_CTA. AHORRO</t>
        </is>
      </c>
      <c r="I680" t="inlineStr">
        <is>
          <t>CTA. AHORRO G.INC_CORE_CORE</t>
        </is>
      </c>
      <c r="K680" t="n">
        <v>53</v>
      </c>
      <c r="M680" s="71" t="n">
        <v>47514</v>
      </c>
      <c r="N680" s="71" t="n">
        <v>47514</v>
      </c>
      <c r="O680" s="71" t="n">
        <v>47514</v>
      </c>
      <c r="P680" t="n">
        <v>8300.060365853658</v>
      </c>
      <c r="V680" t="n">
        <v>1</v>
      </c>
      <c r="W680" t="inlineStr">
        <is>
          <t>BALANCE TASAS</t>
        </is>
      </c>
      <c r="Y680" t="inlineStr">
        <is>
          <t>BALANCE TASAS</t>
        </is>
      </c>
      <c r="Z680" t="inlineStr">
        <is>
          <t>HTM</t>
        </is>
      </c>
      <c r="AA680" t="n">
        <v>1</v>
      </c>
    </row>
    <row r="681">
      <c r="A681" s="71" t="n">
        <v>45923</v>
      </c>
      <c r="B681" t="n">
        <v>1</v>
      </c>
      <c r="D681" t="inlineStr">
        <is>
          <t>PAS</t>
        </is>
      </c>
      <c r="E681" t="inlineStr">
        <is>
          <t>CLF</t>
        </is>
      </c>
      <c r="F681" t="inlineStr">
        <is>
          <t>CLF</t>
        </is>
      </c>
      <c r="H681" t="inlineStr">
        <is>
          <t>MT_CTA. AHORRO</t>
        </is>
      </c>
      <c r="I681" t="inlineStr">
        <is>
          <t>CTA. AHORRO G.INC_CORE_CORE</t>
        </is>
      </c>
      <c r="K681" t="n">
        <v>54</v>
      </c>
      <c r="M681" s="71" t="n">
        <v>47542</v>
      </c>
      <c r="N681" s="71" t="n">
        <v>47542</v>
      </c>
      <c r="O681" s="71" t="n">
        <v>47542</v>
      </c>
      <c r="P681" t="n">
        <v>8300.060365853658</v>
      </c>
      <c r="V681" t="n">
        <v>1</v>
      </c>
      <c r="W681" t="inlineStr">
        <is>
          <t>BALANCE TASAS</t>
        </is>
      </c>
      <c r="Y681" t="inlineStr">
        <is>
          <t>BALANCE TASAS</t>
        </is>
      </c>
      <c r="Z681" t="inlineStr">
        <is>
          <t>HTM</t>
        </is>
      </c>
      <c r="AA681" t="n">
        <v>1</v>
      </c>
    </row>
    <row r="682">
      <c r="A682" s="71" t="n">
        <v>45923</v>
      </c>
      <c r="B682" t="n">
        <v>1</v>
      </c>
      <c r="D682" t="inlineStr">
        <is>
          <t>PAS</t>
        </is>
      </c>
      <c r="E682" t="inlineStr">
        <is>
          <t>CLF</t>
        </is>
      </c>
      <c r="F682" t="inlineStr">
        <is>
          <t>CLF</t>
        </is>
      </c>
      <c r="H682" t="inlineStr">
        <is>
          <t>MT_CTA. AHORRO</t>
        </is>
      </c>
      <c r="I682" t="inlineStr">
        <is>
          <t>CTA. AHORRO G.INC_CORE_CORE</t>
        </is>
      </c>
      <c r="K682" t="n">
        <v>55</v>
      </c>
      <c r="M682" s="71" t="n">
        <v>47573</v>
      </c>
      <c r="N682" s="71" t="n">
        <v>47573</v>
      </c>
      <c r="O682" s="71" t="n">
        <v>47573</v>
      </c>
      <c r="P682" t="n">
        <v>8300.060365853658</v>
      </c>
      <c r="V682" t="n">
        <v>1</v>
      </c>
      <c r="W682" t="inlineStr">
        <is>
          <t>BALANCE TASAS</t>
        </is>
      </c>
      <c r="Y682" t="inlineStr">
        <is>
          <t>BALANCE TASAS</t>
        </is>
      </c>
      <c r="Z682" t="inlineStr">
        <is>
          <t>HTM</t>
        </is>
      </c>
      <c r="AA682" t="n">
        <v>1</v>
      </c>
    </row>
    <row r="683">
      <c r="A683" s="71" t="n">
        <v>45923</v>
      </c>
      <c r="B683" t="n">
        <v>1</v>
      </c>
      <c r="D683" t="inlineStr">
        <is>
          <t>PAS</t>
        </is>
      </c>
      <c r="E683" t="inlineStr">
        <is>
          <t>CLF</t>
        </is>
      </c>
      <c r="F683" t="inlineStr">
        <is>
          <t>CLF</t>
        </is>
      </c>
      <c r="H683" t="inlineStr">
        <is>
          <t>MT_CTA. AHORRO</t>
        </is>
      </c>
      <c r="I683" t="inlineStr">
        <is>
          <t>CTA. AHORRO G.INC_CORE_CORE</t>
        </is>
      </c>
      <c r="K683" t="n">
        <v>56</v>
      </c>
      <c r="M683" s="71" t="n">
        <v>47603</v>
      </c>
      <c r="N683" s="71" t="n">
        <v>47603</v>
      </c>
      <c r="O683" s="71" t="n">
        <v>47603</v>
      </c>
      <c r="P683" t="n">
        <v>8300.060365853658</v>
      </c>
      <c r="V683" t="n">
        <v>1</v>
      </c>
      <c r="W683" t="inlineStr">
        <is>
          <t>BALANCE TASAS</t>
        </is>
      </c>
      <c r="Y683" t="inlineStr">
        <is>
          <t>BALANCE TASAS</t>
        </is>
      </c>
      <c r="Z683" t="inlineStr">
        <is>
          <t>HTM</t>
        </is>
      </c>
      <c r="AA683" t="n">
        <v>1</v>
      </c>
    </row>
    <row r="684">
      <c r="A684" s="71" t="n">
        <v>45923</v>
      </c>
      <c r="B684" t="n">
        <v>1</v>
      </c>
      <c r="D684" t="inlineStr">
        <is>
          <t>PAS</t>
        </is>
      </c>
      <c r="E684" t="inlineStr">
        <is>
          <t>CLF</t>
        </is>
      </c>
      <c r="F684" t="inlineStr">
        <is>
          <t>CLF</t>
        </is>
      </c>
      <c r="H684" t="inlineStr">
        <is>
          <t>MT_CTA. AHORRO</t>
        </is>
      </c>
      <c r="I684" t="inlineStr">
        <is>
          <t>CTA. AHORRO G.INC_CORE_CORE</t>
        </is>
      </c>
      <c r="K684" t="n">
        <v>57</v>
      </c>
      <c r="M684" s="71" t="n">
        <v>47634</v>
      </c>
      <c r="N684" s="71" t="n">
        <v>47634</v>
      </c>
      <c r="O684" s="71" t="n">
        <v>47634</v>
      </c>
      <c r="P684" t="n">
        <v>8300.060365853658</v>
      </c>
      <c r="V684" t="n">
        <v>1</v>
      </c>
      <c r="W684" t="inlineStr">
        <is>
          <t>BALANCE TASAS</t>
        </is>
      </c>
      <c r="Y684" t="inlineStr">
        <is>
          <t>BALANCE TASAS</t>
        </is>
      </c>
      <c r="Z684" t="inlineStr">
        <is>
          <t>HTM</t>
        </is>
      </c>
      <c r="AA684" t="n">
        <v>1</v>
      </c>
    </row>
    <row r="685">
      <c r="A685" s="71" t="n">
        <v>45923</v>
      </c>
      <c r="B685" t="n">
        <v>1</v>
      </c>
      <c r="D685" t="inlineStr">
        <is>
          <t>PAS</t>
        </is>
      </c>
      <c r="E685" t="inlineStr">
        <is>
          <t>CLF</t>
        </is>
      </c>
      <c r="F685" t="inlineStr">
        <is>
          <t>CLF</t>
        </is>
      </c>
      <c r="H685" t="inlineStr">
        <is>
          <t>MT_CTA. AHORRO</t>
        </is>
      </c>
      <c r="I685" t="inlineStr">
        <is>
          <t>CTA. AHORRO G.INC_CORE_CORE</t>
        </is>
      </c>
      <c r="K685" t="n">
        <v>58</v>
      </c>
      <c r="M685" s="71" t="n">
        <v>47664</v>
      </c>
      <c r="N685" s="71" t="n">
        <v>47664</v>
      </c>
      <c r="O685" s="71" t="n">
        <v>47664</v>
      </c>
      <c r="P685" t="n">
        <v>8300.060365853658</v>
      </c>
      <c r="V685" t="n">
        <v>1</v>
      </c>
      <c r="W685" t="inlineStr">
        <is>
          <t>BALANCE TASAS</t>
        </is>
      </c>
      <c r="Y685" t="inlineStr">
        <is>
          <t>BALANCE TASAS</t>
        </is>
      </c>
      <c r="Z685" t="inlineStr">
        <is>
          <t>HTM</t>
        </is>
      </c>
      <c r="AA685" t="n">
        <v>1</v>
      </c>
    </row>
    <row r="686">
      <c r="A686" s="71" t="n">
        <v>45923</v>
      </c>
      <c r="B686" t="n">
        <v>1</v>
      </c>
      <c r="D686" t="inlineStr">
        <is>
          <t>PAS</t>
        </is>
      </c>
      <c r="E686" t="inlineStr">
        <is>
          <t>CLF</t>
        </is>
      </c>
      <c r="F686" t="inlineStr">
        <is>
          <t>CLF</t>
        </is>
      </c>
      <c r="H686" t="inlineStr">
        <is>
          <t>MT_CTA. AHORRO</t>
        </is>
      </c>
      <c r="I686" t="inlineStr">
        <is>
          <t>CTA. AHORRO G.INC_CORE_CORE</t>
        </is>
      </c>
      <c r="K686" t="n">
        <v>59</v>
      </c>
      <c r="M686" s="71" t="n">
        <v>47695</v>
      </c>
      <c r="N686" s="71" t="n">
        <v>47695</v>
      </c>
      <c r="O686" s="71" t="n">
        <v>47695</v>
      </c>
      <c r="P686" t="n">
        <v>8300.060365853658</v>
      </c>
      <c r="V686" t="n">
        <v>1</v>
      </c>
      <c r="W686" t="inlineStr">
        <is>
          <t>BALANCE TASAS</t>
        </is>
      </c>
      <c r="Y686" t="inlineStr">
        <is>
          <t>BALANCE TASAS</t>
        </is>
      </c>
      <c r="Z686" t="inlineStr">
        <is>
          <t>HTM</t>
        </is>
      </c>
      <c r="AA686" t="n">
        <v>1</v>
      </c>
    </row>
    <row r="687">
      <c r="A687" s="71" t="n">
        <v>45923</v>
      </c>
      <c r="B687" t="n">
        <v>1</v>
      </c>
      <c r="D687" t="inlineStr">
        <is>
          <t>PAS</t>
        </is>
      </c>
      <c r="E687" t="inlineStr">
        <is>
          <t>CLF</t>
        </is>
      </c>
      <c r="F687" t="inlineStr">
        <is>
          <t>CLF</t>
        </is>
      </c>
      <c r="H687" t="inlineStr">
        <is>
          <t>MT_CTA. AHORRO</t>
        </is>
      </c>
      <c r="I687" t="inlineStr">
        <is>
          <t>CTA. AHORRO G.INC_CORE_CORE</t>
        </is>
      </c>
      <c r="K687" t="n">
        <v>60</v>
      </c>
      <c r="M687" s="71" t="n">
        <v>47726</v>
      </c>
      <c r="N687" s="71" t="n">
        <v>47726</v>
      </c>
      <c r="O687" s="71" t="n">
        <v>47726</v>
      </c>
      <c r="P687" t="n">
        <v>8300.060365853658</v>
      </c>
      <c r="V687" t="n">
        <v>1</v>
      </c>
      <c r="W687" t="inlineStr">
        <is>
          <t>BALANCE TASAS</t>
        </is>
      </c>
      <c r="Y687" t="inlineStr">
        <is>
          <t>BALANCE TASAS</t>
        </is>
      </c>
      <c r="Z687" t="inlineStr">
        <is>
          <t>HTM</t>
        </is>
      </c>
      <c r="AA687" t="n">
        <v>1</v>
      </c>
    </row>
    <row r="688">
      <c r="A688" s="71" t="n">
        <v>45923</v>
      </c>
      <c r="B688" t="n">
        <v>1</v>
      </c>
      <c r="D688" t="inlineStr">
        <is>
          <t>PAS</t>
        </is>
      </c>
      <c r="E688" t="inlineStr">
        <is>
          <t>CLF</t>
        </is>
      </c>
      <c r="F688" t="inlineStr">
        <is>
          <t>CLF</t>
        </is>
      </c>
      <c r="H688" t="inlineStr">
        <is>
          <t>MT_CTA. AHORRO</t>
        </is>
      </c>
      <c r="I688" t="inlineStr">
        <is>
          <t>CTA. AHORRO G.INC_CORE_CORE</t>
        </is>
      </c>
      <c r="K688" t="n">
        <v>61</v>
      </c>
      <c r="M688" s="71" t="n">
        <v>47756</v>
      </c>
      <c r="N688" s="71" t="n">
        <v>47756</v>
      </c>
      <c r="O688" s="71" t="n">
        <v>47756</v>
      </c>
      <c r="P688" t="n">
        <v>8300.060365853658</v>
      </c>
      <c r="V688" t="n">
        <v>1</v>
      </c>
      <c r="W688" t="inlineStr">
        <is>
          <t>BALANCE TASAS</t>
        </is>
      </c>
      <c r="Y688" t="inlineStr">
        <is>
          <t>BALANCE TASAS</t>
        </is>
      </c>
      <c r="Z688" t="inlineStr">
        <is>
          <t>HTM</t>
        </is>
      </c>
      <c r="AA688" t="n">
        <v>1</v>
      </c>
    </row>
    <row r="689">
      <c r="A689" s="71" t="n">
        <v>45923</v>
      </c>
      <c r="B689" t="n">
        <v>1</v>
      </c>
      <c r="D689" t="inlineStr">
        <is>
          <t>PAS</t>
        </is>
      </c>
      <c r="E689" t="inlineStr">
        <is>
          <t>CLF</t>
        </is>
      </c>
      <c r="F689" t="inlineStr">
        <is>
          <t>CLF</t>
        </is>
      </c>
      <c r="H689" t="inlineStr">
        <is>
          <t>MT_CTA. AHORRO</t>
        </is>
      </c>
      <c r="I689" t="inlineStr">
        <is>
          <t>CTA. AHORRO G.INC_CORE_CORE</t>
        </is>
      </c>
      <c r="K689" t="n">
        <v>62</v>
      </c>
      <c r="M689" s="71" t="n">
        <v>47787</v>
      </c>
      <c r="N689" s="71" t="n">
        <v>47787</v>
      </c>
      <c r="O689" s="71" t="n">
        <v>47787</v>
      </c>
      <c r="P689" t="n">
        <v>8300.060365853658</v>
      </c>
      <c r="V689" t="n">
        <v>1</v>
      </c>
      <c r="W689" t="inlineStr">
        <is>
          <t>BALANCE TASAS</t>
        </is>
      </c>
      <c r="Y689" t="inlineStr">
        <is>
          <t>BALANCE TASAS</t>
        </is>
      </c>
      <c r="Z689" t="inlineStr">
        <is>
          <t>HTM</t>
        </is>
      </c>
      <c r="AA689" t="n">
        <v>1</v>
      </c>
    </row>
    <row r="690">
      <c r="A690" s="71" t="n">
        <v>45923</v>
      </c>
      <c r="B690" t="n">
        <v>1</v>
      </c>
      <c r="D690" t="inlineStr">
        <is>
          <t>PAS</t>
        </is>
      </c>
      <c r="E690" t="inlineStr">
        <is>
          <t>CLF</t>
        </is>
      </c>
      <c r="F690" t="inlineStr">
        <is>
          <t>CLF</t>
        </is>
      </c>
      <c r="H690" t="inlineStr">
        <is>
          <t>MT_CTA. AHORRO</t>
        </is>
      </c>
      <c r="I690" t="inlineStr">
        <is>
          <t>CTA. AHORRO G.INC_CORE_CORE</t>
        </is>
      </c>
      <c r="K690" t="n">
        <v>63</v>
      </c>
      <c r="M690" s="71" t="n">
        <v>47817</v>
      </c>
      <c r="N690" s="71" t="n">
        <v>47817</v>
      </c>
      <c r="O690" s="71" t="n">
        <v>47817</v>
      </c>
      <c r="P690" t="n">
        <v>8300.060365853658</v>
      </c>
      <c r="V690" t="n">
        <v>1</v>
      </c>
      <c r="W690" t="inlineStr">
        <is>
          <t>BALANCE TASAS</t>
        </is>
      </c>
      <c r="Y690" t="inlineStr">
        <is>
          <t>BALANCE TASAS</t>
        </is>
      </c>
      <c r="Z690" t="inlineStr">
        <is>
          <t>HTM</t>
        </is>
      </c>
      <c r="AA690" t="n">
        <v>1</v>
      </c>
    </row>
    <row r="691">
      <c r="A691" s="71" t="n">
        <v>45923</v>
      </c>
      <c r="B691" t="n">
        <v>1</v>
      </c>
      <c r="D691" t="inlineStr">
        <is>
          <t>PAS</t>
        </is>
      </c>
      <c r="E691" t="inlineStr">
        <is>
          <t>CLF</t>
        </is>
      </c>
      <c r="F691" t="inlineStr">
        <is>
          <t>CLF</t>
        </is>
      </c>
      <c r="H691" t="inlineStr">
        <is>
          <t>MT_CTA. AHORRO</t>
        </is>
      </c>
      <c r="I691" t="inlineStr">
        <is>
          <t>CTA. AHORRO G.INC_CORE_CORE</t>
        </is>
      </c>
      <c r="K691" t="n">
        <v>64</v>
      </c>
      <c r="M691" s="71" t="n">
        <v>47848</v>
      </c>
      <c r="N691" s="71" t="n">
        <v>47848</v>
      </c>
      <c r="O691" s="71" t="n">
        <v>47848</v>
      </c>
      <c r="P691" t="n">
        <v>8300.060365853658</v>
      </c>
      <c r="V691" t="n">
        <v>1</v>
      </c>
      <c r="W691" t="inlineStr">
        <is>
          <t>BALANCE TASAS</t>
        </is>
      </c>
      <c r="Y691" t="inlineStr">
        <is>
          <t>BALANCE TASAS</t>
        </is>
      </c>
      <c r="Z691" t="inlineStr">
        <is>
          <t>HTM</t>
        </is>
      </c>
      <c r="AA691" t="n">
        <v>1</v>
      </c>
    </row>
    <row r="692">
      <c r="A692" s="71" t="n">
        <v>45923</v>
      </c>
      <c r="B692" t="n">
        <v>1</v>
      </c>
      <c r="D692" t="inlineStr">
        <is>
          <t>PAS</t>
        </is>
      </c>
      <c r="E692" t="inlineStr">
        <is>
          <t>CLF</t>
        </is>
      </c>
      <c r="F692" t="inlineStr">
        <is>
          <t>CLF</t>
        </is>
      </c>
      <c r="H692" t="inlineStr">
        <is>
          <t>MT_CTA. AHORRO</t>
        </is>
      </c>
      <c r="I692" t="inlineStr">
        <is>
          <t>CTA. AHORRO G.INC_CORE_CORE</t>
        </is>
      </c>
      <c r="K692" t="n">
        <v>65</v>
      </c>
      <c r="M692" s="71" t="n">
        <v>47879</v>
      </c>
      <c r="N692" s="71" t="n">
        <v>47879</v>
      </c>
      <c r="O692" s="71" t="n">
        <v>47879</v>
      </c>
      <c r="P692" t="n">
        <v>8300.060365853658</v>
      </c>
      <c r="V692" t="n">
        <v>1</v>
      </c>
      <c r="W692" t="inlineStr">
        <is>
          <t>BALANCE TASAS</t>
        </is>
      </c>
      <c r="Y692" t="inlineStr">
        <is>
          <t>BALANCE TASAS</t>
        </is>
      </c>
      <c r="Z692" t="inlineStr">
        <is>
          <t>HTM</t>
        </is>
      </c>
      <c r="AA692" t="n">
        <v>1</v>
      </c>
    </row>
    <row r="693">
      <c r="A693" s="71" t="n">
        <v>45923</v>
      </c>
      <c r="B693" t="n">
        <v>1</v>
      </c>
      <c r="D693" t="inlineStr">
        <is>
          <t>PAS</t>
        </is>
      </c>
      <c r="E693" t="inlineStr">
        <is>
          <t>CLF</t>
        </is>
      </c>
      <c r="F693" t="inlineStr">
        <is>
          <t>CLF</t>
        </is>
      </c>
      <c r="H693" t="inlineStr">
        <is>
          <t>MT_CTA. AHORRO</t>
        </is>
      </c>
      <c r="I693" t="inlineStr">
        <is>
          <t>CTA. AHORRO G.INC_CORE_CORE</t>
        </is>
      </c>
      <c r="K693" t="n">
        <v>66</v>
      </c>
      <c r="M693" s="71" t="n">
        <v>47907</v>
      </c>
      <c r="N693" s="71" t="n">
        <v>47907</v>
      </c>
      <c r="O693" s="71" t="n">
        <v>47907</v>
      </c>
      <c r="P693" t="n">
        <v>8300.060365853658</v>
      </c>
      <c r="V693" t="n">
        <v>1</v>
      </c>
      <c r="W693" t="inlineStr">
        <is>
          <t>BALANCE TASAS</t>
        </is>
      </c>
      <c r="Y693" t="inlineStr">
        <is>
          <t>BALANCE TASAS</t>
        </is>
      </c>
      <c r="Z693" t="inlineStr">
        <is>
          <t>HTM</t>
        </is>
      </c>
      <c r="AA693" t="n">
        <v>1</v>
      </c>
    </row>
    <row r="694">
      <c r="A694" s="71" t="n">
        <v>45923</v>
      </c>
      <c r="B694" t="n">
        <v>1</v>
      </c>
      <c r="D694" t="inlineStr">
        <is>
          <t>PAS</t>
        </is>
      </c>
      <c r="E694" t="inlineStr">
        <is>
          <t>CLF</t>
        </is>
      </c>
      <c r="F694" t="inlineStr">
        <is>
          <t>CLF</t>
        </is>
      </c>
      <c r="H694" t="inlineStr">
        <is>
          <t>MT_CTA. AHORRO</t>
        </is>
      </c>
      <c r="I694" t="inlineStr">
        <is>
          <t>CTA. AHORRO G.INC_CORE_CORE</t>
        </is>
      </c>
      <c r="K694" t="n">
        <v>67</v>
      </c>
      <c r="M694" s="71" t="n">
        <v>47938</v>
      </c>
      <c r="N694" s="71" t="n">
        <v>47938</v>
      </c>
      <c r="O694" s="71" t="n">
        <v>47938</v>
      </c>
      <c r="P694" t="n">
        <v>8300.060365853658</v>
      </c>
      <c r="V694" t="n">
        <v>1</v>
      </c>
      <c r="W694" t="inlineStr">
        <is>
          <t>BALANCE TASAS</t>
        </is>
      </c>
      <c r="Y694" t="inlineStr">
        <is>
          <t>BALANCE TASAS</t>
        </is>
      </c>
      <c r="Z694" t="inlineStr">
        <is>
          <t>HTM</t>
        </is>
      </c>
      <c r="AA694" t="n">
        <v>1</v>
      </c>
    </row>
    <row r="695">
      <c r="A695" s="71" t="n">
        <v>45923</v>
      </c>
      <c r="B695" t="n">
        <v>1</v>
      </c>
      <c r="D695" t="inlineStr">
        <is>
          <t>PAS</t>
        </is>
      </c>
      <c r="E695" t="inlineStr">
        <is>
          <t>CLF</t>
        </is>
      </c>
      <c r="F695" t="inlineStr">
        <is>
          <t>CLF</t>
        </is>
      </c>
      <c r="H695" t="inlineStr">
        <is>
          <t>MT_CTA. AHORRO</t>
        </is>
      </c>
      <c r="I695" t="inlineStr">
        <is>
          <t>CTA. AHORRO G.INC_CORE_CORE</t>
        </is>
      </c>
      <c r="K695" t="n">
        <v>68</v>
      </c>
      <c r="M695" s="71" t="n">
        <v>47968</v>
      </c>
      <c r="N695" s="71" t="n">
        <v>47968</v>
      </c>
      <c r="O695" s="71" t="n">
        <v>47968</v>
      </c>
      <c r="P695" t="n">
        <v>8300.060365853658</v>
      </c>
      <c r="V695" t="n">
        <v>1</v>
      </c>
      <c r="W695" t="inlineStr">
        <is>
          <t>BALANCE TASAS</t>
        </is>
      </c>
      <c r="Y695" t="inlineStr">
        <is>
          <t>BALANCE TASAS</t>
        </is>
      </c>
      <c r="Z695" t="inlineStr">
        <is>
          <t>HTM</t>
        </is>
      </c>
      <c r="AA695" t="n">
        <v>1</v>
      </c>
    </row>
    <row r="696">
      <c r="A696" s="71" t="n">
        <v>45923</v>
      </c>
      <c r="B696" t="n">
        <v>1</v>
      </c>
      <c r="D696" t="inlineStr">
        <is>
          <t>PAS</t>
        </is>
      </c>
      <c r="E696" t="inlineStr">
        <is>
          <t>CLF</t>
        </is>
      </c>
      <c r="F696" t="inlineStr">
        <is>
          <t>CLF</t>
        </is>
      </c>
      <c r="H696" t="inlineStr">
        <is>
          <t>MT_CTA. AHORRO</t>
        </is>
      </c>
      <c r="I696" t="inlineStr">
        <is>
          <t>CTA. AHORRO G.INC_CORE_CORE</t>
        </is>
      </c>
      <c r="K696" t="n">
        <v>69</v>
      </c>
      <c r="M696" s="71" t="n">
        <v>47999</v>
      </c>
      <c r="N696" s="71" t="n">
        <v>47999</v>
      </c>
      <c r="O696" s="71" t="n">
        <v>47999</v>
      </c>
      <c r="P696" t="n">
        <v>8300.060365853658</v>
      </c>
      <c r="V696" t="n">
        <v>1</v>
      </c>
      <c r="W696" t="inlineStr">
        <is>
          <t>BALANCE TASAS</t>
        </is>
      </c>
      <c r="Y696" t="inlineStr">
        <is>
          <t>BALANCE TASAS</t>
        </is>
      </c>
      <c r="Z696" t="inlineStr">
        <is>
          <t>HTM</t>
        </is>
      </c>
      <c r="AA696" t="n">
        <v>1</v>
      </c>
    </row>
    <row r="697">
      <c r="A697" s="71" t="n">
        <v>45923</v>
      </c>
      <c r="B697" t="n">
        <v>1</v>
      </c>
      <c r="D697" t="inlineStr">
        <is>
          <t>PAS</t>
        </is>
      </c>
      <c r="E697" t="inlineStr">
        <is>
          <t>CLF</t>
        </is>
      </c>
      <c r="F697" t="inlineStr">
        <is>
          <t>CLF</t>
        </is>
      </c>
      <c r="H697" t="inlineStr">
        <is>
          <t>MT_CTA. AHORRO</t>
        </is>
      </c>
      <c r="I697" t="inlineStr">
        <is>
          <t>CTA. AHORRO G.INC_CORE_CORE</t>
        </is>
      </c>
      <c r="K697" t="n">
        <v>70</v>
      </c>
      <c r="M697" s="71" t="n">
        <v>48029</v>
      </c>
      <c r="N697" s="71" t="n">
        <v>48029</v>
      </c>
      <c r="O697" s="71" t="n">
        <v>48029</v>
      </c>
      <c r="P697" t="n">
        <v>8300.060365853658</v>
      </c>
      <c r="V697" t="n">
        <v>1</v>
      </c>
      <c r="W697" t="inlineStr">
        <is>
          <t>BALANCE TASAS</t>
        </is>
      </c>
      <c r="Y697" t="inlineStr">
        <is>
          <t>BALANCE TASAS</t>
        </is>
      </c>
      <c r="Z697" t="inlineStr">
        <is>
          <t>HTM</t>
        </is>
      </c>
      <c r="AA697" t="n">
        <v>1</v>
      </c>
    </row>
    <row r="698">
      <c r="A698" s="71" t="n">
        <v>45923</v>
      </c>
      <c r="B698" t="n">
        <v>1</v>
      </c>
      <c r="D698" t="inlineStr">
        <is>
          <t>PAS</t>
        </is>
      </c>
      <c r="E698" t="inlineStr">
        <is>
          <t>CLF</t>
        </is>
      </c>
      <c r="F698" t="inlineStr">
        <is>
          <t>CLF</t>
        </is>
      </c>
      <c r="H698" t="inlineStr">
        <is>
          <t>MT_CTA. AHORRO</t>
        </is>
      </c>
      <c r="I698" t="inlineStr">
        <is>
          <t>CTA. AHORRO G.INC_CORE_CORE</t>
        </is>
      </c>
      <c r="K698" t="n">
        <v>71</v>
      </c>
      <c r="M698" s="71" t="n">
        <v>48060</v>
      </c>
      <c r="N698" s="71" t="n">
        <v>48060</v>
      </c>
      <c r="O698" s="71" t="n">
        <v>48060</v>
      </c>
      <c r="P698" t="n">
        <v>8300.060365853658</v>
      </c>
      <c r="V698" t="n">
        <v>1</v>
      </c>
      <c r="W698" t="inlineStr">
        <is>
          <t>BALANCE TASAS</t>
        </is>
      </c>
      <c r="Y698" t="inlineStr">
        <is>
          <t>BALANCE TASAS</t>
        </is>
      </c>
      <c r="Z698" t="inlineStr">
        <is>
          <t>HTM</t>
        </is>
      </c>
      <c r="AA698" t="n">
        <v>1</v>
      </c>
    </row>
    <row r="699">
      <c r="A699" s="71" t="n">
        <v>45923</v>
      </c>
      <c r="B699" t="n">
        <v>1</v>
      </c>
      <c r="D699" t="inlineStr">
        <is>
          <t>PAS</t>
        </is>
      </c>
      <c r="E699" t="inlineStr">
        <is>
          <t>CLF</t>
        </is>
      </c>
      <c r="F699" t="inlineStr">
        <is>
          <t>CLF</t>
        </is>
      </c>
      <c r="H699" t="inlineStr">
        <is>
          <t>MT_CTA. AHORRO</t>
        </is>
      </c>
      <c r="I699" t="inlineStr">
        <is>
          <t>CTA. AHORRO G.INC_CORE_CORE</t>
        </is>
      </c>
      <c r="K699" t="n">
        <v>72</v>
      </c>
      <c r="M699" s="71" t="n">
        <v>48091</v>
      </c>
      <c r="N699" s="71" t="n">
        <v>48091</v>
      </c>
      <c r="O699" s="71" t="n">
        <v>48091</v>
      </c>
      <c r="P699" t="n">
        <v>8300.060365853658</v>
      </c>
      <c r="V699" t="n">
        <v>1</v>
      </c>
      <c r="W699" t="inlineStr">
        <is>
          <t>BALANCE TASAS</t>
        </is>
      </c>
      <c r="Y699" t="inlineStr">
        <is>
          <t>BALANCE TASAS</t>
        </is>
      </c>
      <c r="Z699" t="inlineStr">
        <is>
          <t>HTM</t>
        </is>
      </c>
      <c r="AA699" t="n">
        <v>1</v>
      </c>
    </row>
    <row r="700">
      <c r="A700" s="71" t="n">
        <v>45923</v>
      </c>
      <c r="B700" t="n">
        <v>1</v>
      </c>
      <c r="D700" t="inlineStr">
        <is>
          <t>PAS</t>
        </is>
      </c>
      <c r="E700" t="inlineStr">
        <is>
          <t>CLF</t>
        </is>
      </c>
      <c r="F700" t="inlineStr">
        <is>
          <t>CLF</t>
        </is>
      </c>
      <c r="H700" t="inlineStr">
        <is>
          <t>MT_CTA. AHORRO</t>
        </is>
      </c>
      <c r="I700" t="inlineStr">
        <is>
          <t>CTA. AHORRO G.INC_CORE_CORE</t>
        </is>
      </c>
      <c r="K700" t="n">
        <v>73</v>
      </c>
      <c r="M700" s="71" t="n">
        <v>48121</v>
      </c>
      <c r="N700" s="71" t="n">
        <v>48121</v>
      </c>
      <c r="O700" s="71" t="n">
        <v>48121</v>
      </c>
      <c r="P700" t="n">
        <v>8300.060365853658</v>
      </c>
      <c r="V700" t="n">
        <v>1</v>
      </c>
      <c r="W700" t="inlineStr">
        <is>
          <t>BALANCE TASAS</t>
        </is>
      </c>
      <c r="Y700" t="inlineStr">
        <is>
          <t>BALANCE TASAS</t>
        </is>
      </c>
      <c r="Z700" t="inlineStr">
        <is>
          <t>HTM</t>
        </is>
      </c>
      <c r="AA700" t="n">
        <v>1</v>
      </c>
    </row>
    <row r="701">
      <c r="A701" s="71" t="n">
        <v>45923</v>
      </c>
      <c r="B701" t="n">
        <v>1</v>
      </c>
      <c r="D701" t="inlineStr">
        <is>
          <t>PAS</t>
        </is>
      </c>
      <c r="E701" t="inlineStr">
        <is>
          <t>CLF</t>
        </is>
      </c>
      <c r="F701" t="inlineStr">
        <is>
          <t>CLF</t>
        </is>
      </c>
      <c r="H701" t="inlineStr">
        <is>
          <t>MT_CTA. AHORRO</t>
        </is>
      </c>
      <c r="I701" t="inlineStr">
        <is>
          <t>CTA. AHORRO G.INC_CORE_CORE</t>
        </is>
      </c>
      <c r="K701" t="n">
        <v>74</v>
      </c>
      <c r="M701" s="71" t="n">
        <v>48152</v>
      </c>
      <c r="N701" s="71" t="n">
        <v>48152</v>
      </c>
      <c r="O701" s="71" t="n">
        <v>48152</v>
      </c>
      <c r="P701" t="n">
        <v>8300.060365853658</v>
      </c>
      <c r="V701" t="n">
        <v>1</v>
      </c>
      <c r="W701" t="inlineStr">
        <is>
          <t>BALANCE TASAS</t>
        </is>
      </c>
      <c r="Y701" t="inlineStr">
        <is>
          <t>BALANCE TASAS</t>
        </is>
      </c>
      <c r="Z701" t="inlineStr">
        <is>
          <t>HTM</t>
        </is>
      </c>
      <c r="AA701" t="n">
        <v>1</v>
      </c>
    </row>
    <row r="702">
      <c r="A702" s="71" t="n">
        <v>45923</v>
      </c>
      <c r="B702" t="n">
        <v>1</v>
      </c>
      <c r="D702" t="inlineStr">
        <is>
          <t>PAS</t>
        </is>
      </c>
      <c r="E702" t="inlineStr">
        <is>
          <t>CLF</t>
        </is>
      </c>
      <c r="F702" t="inlineStr">
        <is>
          <t>CLF</t>
        </is>
      </c>
      <c r="H702" t="inlineStr">
        <is>
          <t>MT_CTA. AHORRO</t>
        </is>
      </c>
      <c r="I702" t="inlineStr">
        <is>
          <t>CTA. AHORRO G.INC_CORE_CORE</t>
        </is>
      </c>
      <c r="K702" t="n">
        <v>75</v>
      </c>
      <c r="M702" s="71" t="n">
        <v>48182</v>
      </c>
      <c r="N702" s="71" t="n">
        <v>48182</v>
      </c>
      <c r="O702" s="71" t="n">
        <v>48182</v>
      </c>
      <c r="P702" t="n">
        <v>8300.060365853658</v>
      </c>
      <c r="V702" t="n">
        <v>1</v>
      </c>
      <c r="W702" t="inlineStr">
        <is>
          <t>BALANCE TASAS</t>
        </is>
      </c>
      <c r="Y702" t="inlineStr">
        <is>
          <t>BALANCE TASAS</t>
        </is>
      </c>
      <c r="Z702" t="inlineStr">
        <is>
          <t>HTM</t>
        </is>
      </c>
      <c r="AA702" t="n">
        <v>1</v>
      </c>
    </row>
    <row r="703">
      <c r="A703" s="71" t="n">
        <v>45923</v>
      </c>
      <c r="B703" t="n">
        <v>1</v>
      </c>
      <c r="D703" t="inlineStr">
        <is>
          <t>PAS</t>
        </is>
      </c>
      <c r="E703" t="inlineStr">
        <is>
          <t>CLF</t>
        </is>
      </c>
      <c r="F703" t="inlineStr">
        <is>
          <t>CLF</t>
        </is>
      </c>
      <c r="H703" t="inlineStr">
        <is>
          <t>MT_CTA. AHORRO</t>
        </is>
      </c>
      <c r="I703" t="inlineStr">
        <is>
          <t>CTA. AHORRO G.INC_CORE_CORE</t>
        </is>
      </c>
      <c r="K703" t="n">
        <v>76</v>
      </c>
      <c r="M703" s="71" t="n">
        <v>48213</v>
      </c>
      <c r="N703" s="71" t="n">
        <v>48213</v>
      </c>
      <c r="O703" s="71" t="n">
        <v>48213</v>
      </c>
      <c r="P703" t="n">
        <v>8300.060365853658</v>
      </c>
      <c r="V703" t="n">
        <v>1</v>
      </c>
      <c r="W703" t="inlineStr">
        <is>
          <t>BALANCE TASAS</t>
        </is>
      </c>
      <c r="Y703" t="inlineStr">
        <is>
          <t>BALANCE TASAS</t>
        </is>
      </c>
      <c r="Z703" t="inlineStr">
        <is>
          <t>HTM</t>
        </is>
      </c>
      <c r="AA703" t="n">
        <v>1</v>
      </c>
    </row>
    <row r="704">
      <c r="A704" s="71" t="n">
        <v>45923</v>
      </c>
      <c r="B704" t="n">
        <v>1</v>
      </c>
      <c r="D704" t="inlineStr">
        <is>
          <t>PAS</t>
        </is>
      </c>
      <c r="E704" t="inlineStr">
        <is>
          <t>CLF</t>
        </is>
      </c>
      <c r="F704" t="inlineStr">
        <is>
          <t>CLF</t>
        </is>
      </c>
      <c r="H704" t="inlineStr">
        <is>
          <t>MT_CTA. AHORRO</t>
        </is>
      </c>
      <c r="I704" t="inlineStr">
        <is>
          <t>CTA. AHORRO G.INC_CORE_CORE</t>
        </is>
      </c>
      <c r="K704" t="n">
        <v>77</v>
      </c>
      <c r="M704" s="71" t="n">
        <v>48244</v>
      </c>
      <c r="N704" s="71" t="n">
        <v>48244</v>
      </c>
      <c r="O704" s="71" t="n">
        <v>48244</v>
      </c>
      <c r="P704" t="n">
        <v>8300.060365853658</v>
      </c>
      <c r="V704" t="n">
        <v>1</v>
      </c>
      <c r="W704" t="inlineStr">
        <is>
          <t>BALANCE TASAS</t>
        </is>
      </c>
      <c r="Y704" t="inlineStr">
        <is>
          <t>BALANCE TASAS</t>
        </is>
      </c>
      <c r="Z704" t="inlineStr">
        <is>
          <t>HTM</t>
        </is>
      </c>
      <c r="AA704" t="n">
        <v>1</v>
      </c>
    </row>
    <row r="705">
      <c r="A705" s="71" t="n">
        <v>45923</v>
      </c>
      <c r="B705" t="n">
        <v>1</v>
      </c>
      <c r="D705" t="inlineStr">
        <is>
          <t>PAS</t>
        </is>
      </c>
      <c r="E705" t="inlineStr">
        <is>
          <t>CLF</t>
        </is>
      </c>
      <c r="F705" t="inlineStr">
        <is>
          <t>CLF</t>
        </is>
      </c>
      <c r="H705" t="inlineStr">
        <is>
          <t>MT_CTA. AHORRO</t>
        </is>
      </c>
      <c r="I705" t="inlineStr">
        <is>
          <t>CTA. AHORRO G.INC_CORE_CORE</t>
        </is>
      </c>
      <c r="K705" t="n">
        <v>78</v>
      </c>
      <c r="M705" s="71" t="n">
        <v>48273</v>
      </c>
      <c r="N705" s="71" t="n">
        <v>48273</v>
      </c>
      <c r="O705" s="71" t="n">
        <v>48273</v>
      </c>
      <c r="P705" t="n">
        <v>8300.060365853658</v>
      </c>
      <c r="V705" t="n">
        <v>1</v>
      </c>
      <c r="W705" t="inlineStr">
        <is>
          <t>BALANCE TASAS</t>
        </is>
      </c>
      <c r="Y705" t="inlineStr">
        <is>
          <t>BALANCE TASAS</t>
        </is>
      </c>
      <c r="Z705" t="inlineStr">
        <is>
          <t>HTM</t>
        </is>
      </c>
      <c r="AA705" t="n">
        <v>1</v>
      </c>
    </row>
    <row r="706">
      <c r="A706" s="71" t="n">
        <v>45923</v>
      </c>
      <c r="B706" t="n">
        <v>1</v>
      </c>
      <c r="D706" t="inlineStr">
        <is>
          <t>PAS</t>
        </is>
      </c>
      <c r="E706" t="inlineStr">
        <is>
          <t>CLF</t>
        </is>
      </c>
      <c r="F706" t="inlineStr">
        <is>
          <t>CLF</t>
        </is>
      </c>
      <c r="H706" t="inlineStr">
        <is>
          <t>MT_CTA. AHORRO</t>
        </is>
      </c>
      <c r="I706" t="inlineStr">
        <is>
          <t>CTA. AHORRO G.INC_CORE_CORE</t>
        </is>
      </c>
      <c r="K706" t="n">
        <v>79</v>
      </c>
      <c r="M706" s="71" t="n">
        <v>48304</v>
      </c>
      <c r="N706" s="71" t="n">
        <v>48304</v>
      </c>
      <c r="O706" s="71" t="n">
        <v>48304</v>
      </c>
      <c r="P706" t="n">
        <v>8300.060365853658</v>
      </c>
      <c r="V706" t="n">
        <v>1</v>
      </c>
      <c r="W706" t="inlineStr">
        <is>
          <t>BALANCE TASAS</t>
        </is>
      </c>
      <c r="Y706" t="inlineStr">
        <is>
          <t>BALANCE TASAS</t>
        </is>
      </c>
      <c r="Z706" t="inlineStr">
        <is>
          <t>HTM</t>
        </is>
      </c>
      <c r="AA706" t="n">
        <v>1</v>
      </c>
    </row>
    <row r="707">
      <c r="A707" s="71" t="n">
        <v>45923</v>
      </c>
      <c r="B707" t="n">
        <v>1</v>
      </c>
      <c r="D707" t="inlineStr">
        <is>
          <t>PAS</t>
        </is>
      </c>
      <c r="E707" t="inlineStr">
        <is>
          <t>CLF</t>
        </is>
      </c>
      <c r="F707" t="inlineStr">
        <is>
          <t>CLF</t>
        </is>
      </c>
      <c r="H707" t="inlineStr">
        <is>
          <t>MT_CTA. AHORRO</t>
        </is>
      </c>
      <c r="I707" t="inlineStr">
        <is>
          <t>CTA. AHORRO G.INC_CORE_CORE</t>
        </is>
      </c>
      <c r="K707" t="n">
        <v>80</v>
      </c>
      <c r="M707" s="71" t="n">
        <v>48334</v>
      </c>
      <c r="N707" s="71" t="n">
        <v>48334</v>
      </c>
      <c r="O707" s="71" t="n">
        <v>48334</v>
      </c>
      <c r="P707" t="n">
        <v>8300.060365853658</v>
      </c>
      <c r="V707" t="n">
        <v>1</v>
      </c>
      <c r="W707" t="inlineStr">
        <is>
          <t>BALANCE TASAS</t>
        </is>
      </c>
      <c r="Y707" t="inlineStr">
        <is>
          <t>BALANCE TASAS</t>
        </is>
      </c>
      <c r="Z707" t="inlineStr">
        <is>
          <t>HTM</t>
        </is>
      </c>
      <c r="AA707" t="n">
        <v>1</v>
      </c>
    </row>
    <row r="708">
      <c r="A708" s="71" t="n">
        <v>45923</v>
      </c>
      <c r="B708" t="n">
        <v>1</v>
      </c>
      <c r="D708" t="inlineStr">
        <is>
          <t>PAS</t>
        </is>
      </c>
      <c r="E708" t="inlineStr">
        <is>
          <t>CLF</t>
        </is>
      </c>
      <c r="F708" t="inlineStr">
        <is>
          <t>CLF</t>
        </is>
      </c>
      <c r="H708" t="inlineStr">
        <is>
          <t>MT_CTA. AHORRO</t>
        </is>
      </c>
      <c r="I708" t="inlineStr">
        <is>
          <t>CTA. AHORRO G.INC_CORE_CORE</t>
        </is>
      </c>
      <c r="K708" t="n">
        <v>81</v>
      </c>
      <c r="M708" s="71" t="n">
        <v>48365</v>
      </c>
      <c r="N708" s="71" t="n">
        <v>48365</v>
      </c>
      <c r="O708" s="71" t="n">
        <v>48365</v>
      </c>
      <c r="P708" t="n">
        <v>8300.060365853658</v>
      </c>
      <c r="V708" t="n">
        <v>1</v>
      </c>
      <c r="W708" t="inlineStr">
        <is>
          <t>BALANCE TASAS</t>
        </is>
      </c>
      <c r="Y708" t="inlineStr">
        <is>
          <t>BALANCE TASAS</t>
        </is>
      </c>
      <c r="Z708" t="inlineStr">
        <is>
          <t>HTM</t>
        </is>
      </c>
      <c r="AA708" t="n">
        <v>1</v>
      </c>
    </row>
    <row r="709">
      <c r="A709" s="71" t="n">
        <v>45923</v>
      </c>
      <c r="B709" t="n">
        <v>1</v>
      </c>
      <c r="D709" t="inlineStr">
        <is>
          <t>PAS</t>
        </is>
      </c>
      <c r="E709" t="inlineStr">
        <is>
          <t>CLF</t>
        </is>
      </c>
      <c r="F709" t="inlineStr">
        <is>
          <t>CLF</t>
        </is>
      </c>
      <c r="H709" t="inlineStr">
        <is>
          <t>MT_CTA. AHORRO</t>
        </is>
      </c>
      <c r="I709" t="inlineStr">
        <is>
          <t>CTA. AHORRO G.INC_CORE_CORE</t>
        </is>
      </c>
      <c r="K709" t="n">
        <v>82</v>
      </c>
      <c r="M709" s="71" t="n">
        <v>48395</v>
      </c>
      <c r="N709" s="71" t="n">
        <v>48395</v>
      </c>
      <c r="O709" s="71" t="n">
        <v>48395</v>
      </c>
      <c r="P709" t="n">
        <v>8300.060365853658</v>
      </c>
      <c r="V709" t="n">
        <v>1</v>
      </c>
      <c r="W709" t="inlineStr">
        <is>
          <t>BALANCE TASAS</t>
        </is>
      </c>
      <c r="Y709" t="inlineStr">
        <is>
          <t>BALANCE TASAS</t>
        </is>
      </c>
      <c r="Z709" t="inlineStr">
        <is>
          <t>HTM</t>
        </is>
      </c>
      <c r="AA709" t="n">
        <v>1</v>
      </c>
    </row>
    <row r="710">
      <c r="A710" s="71" t="n">
        <v>45923</v>
      </c>
      <c r="B710" t="n">
        <v>1</v>
      </c>
      <c r="D710" t="inlineStr">
        <is>
          <t>PAS</t>
        </is>
      </c>
      <c r="E710" t="inlineStr">
        <is>
          <t>CLF</t>
        </is>
      </c>
      <c r="F710" t="inlineStr">
        <is>
          <t>CLF</t>
        </is>
      </c>
      <c r="H710" t="inlineStr">
        <is>
          <t>MT_CTA. AHORRO</t>
        </is>
      </c>
      <c r="I710" t="inlineStr">
        <is>
          <t>CTA. AHORRO G.INC_CORE_CORE</t>
        </is>
      </c>
      <c r="K710" t="n">
        <v>83</v>
      </c>
      <c r="M710" s="71" t="n">
        <v>48426</v>
      </c>
      <c r="N710" s="71" t="n">
        <v>48426</v>
      </c>
      <c r="O710" s="71" t="n">
        <v>48426</v>
      </c>
      <c r="P710" t="n">
        <v>8300.060365853658</v>
      </c>
      <c r="V710" t="n">
        <v>1</v>
      </c>
      <c r="W710" t="inlineStr">
        <is>
          <t>BALANCE TASAS</t>
        </is>
      </c>
      <c r="Y710" t="inlineStr">
        <is>
          <t>BALANCE TASAS</t>
        </is>
      </c>
      <c r="Z710" t="inlineStr">
        <is>
          <t>HTM</t>
        </is>
      </c>
      <c r="AA710" t="n">
        <v>1</v>
      </c>
    </row>
    <row r="711">
      <c r="A711" s="71" t="n">
        <v>45923</v>
      </c>
      <c r="B711" t="n">
        <v>1</v>
      </c>
      <c r="D711" t="inlineStr">
        <is>
          <t>PAS</t>
        </is>
      </c>
      <c r="E711" t="inlineStr">
        <is>
          <t>CLF</t>
        </is>
      </c>
      <c r="F711" t="inlineStr">
        <is>
          <t>CLF</t>
        </is>
      </c>
      <c r="H711" t="inlineStr">
        <is>
          <t>MT_CTA. AHORRO</t>
        </is>
      </c>
      <c r="I711" t="inlineStr">
        <is>
          <t>CTA. AHORRO G.INC_CORE_CORE</t>
        </is>
      </c>
      <c r="K711" t="n">
        <v>84</v>
      </c>
      <c r="M711" s="71" t="n">
        <v>48457</v>
      </c>
      <c r="N711" s="71" t="n">
        <v>48457</v>
      </c>
      <c r="O711" s="71" t="n">
        <v>48457</v>
      </c>
      <c r="P711" t="n">
        <v>8300.060365853658</v>
      </c>
      <c r="V711" t="n">
        <v>1</v>
      </c>
      <c r="W711" t="inlineStr">
        <is>
          <t>BALANCE TASAS</t>
        </is>
      </c>
      <c r="Y711" t="inlineStr">
        <is>
          <t>BALANCE TASAS</t>
        </is>
      </c>
      <c r="Z711" t="inlineStr">
        <is>
          <t>HTM</t>
        </is>
      </c>
      <c r="AA711" t="n">
        <v>1</v>
      </c>
    </row>
    <row r="712">
      <c r="A712" s="71" t="n">
        <v>45923</v>
      </c>
      <c r="B712" t="n">
        <v>1</v>
      </c>
      <c r="D712" t="inlineStr">
        <is>
          <t>PAS</t>
        </is>
      </c>
      <c r="E712" t="inlineStr">
        <is>
          <t>CLF</t>
        </is>
      </c>
      <c r="F712" t="inlineStr">
        <is>
          <t>CLF</t>
        </is>
      </c>
      <c r="H712" t="inlineStr">
        <is>
          <t>MT_CTA. AHORRO</t>
        </is>
      </c>
      <c r="I712" t="inlineStr">
        <is>
          <t>CTA. AHORRO G.INC_CORE_CORE</t>
        </is>
      </c>
      <c r="K712" t="n">
        <v>85</v>
      </c>
      <c r="M712" s="71" t="n">
        <v>48487</v>
      </c>
      <c r="N712" s="71" t="n">
        <v>48487</v>
      </c>
      <c r="O712" s="71" t="n">
        <v>48487</v>
      </c>
      <c r="P712" t="n">
        <v>8300.060365853658</v>
      </c>
      <c r="V712" t="n">
        <v>1</v>
      </c>
      <c r="W712" t="inlineStr">
        <is>
          <t>BALANCE TASAS</t>
        </is>
      </c>
      <c r="Y712" t="inlineStr">
        <is>
          <t>BALANCE TASAS</t>
        </is>
      </c>
      <c r="Z712" t="inlineStr">
        <is>
          <t>HTM</t>
        </is>
      </c>
      <c r="AA712" t="n">
        <v>1</v>
      </c>
    </row>
    <row r="713">
      <c r="A713" s="71" t="n">
        <v>45923</v>
      </c>
      <c r="B713" t="n">
        <v>1</v>
      </c>
      <c r="D713" t="inlineStr">
        <is>
          <t>PAS</t>
        </is>
      </c>
      <c r="E713" t="inlineStr">
        <is>
          <t>CLF</t>
        </is>
      </c>
      <c r="F713" t="inlineStr">
        <is>
          <t>CLF</t>
        </is>
      </c>
      <c r="H713" t="inlineStr">
        <is>
          <t>MT_CTA. AHORRO</t>
        </is>
      </c>
      <c r="I713" t="inlineStr">
        <is>
          <t>CTA. AHORRO G.INC_CORE_CORE</t>
        </is>
      </c>
      <c r="K713" t="n">
        <v>86</v>
      </c>
      <c r="M713" s="71" t="n">
        <v>48518</v>
      </c>
      <c r="N713" s="71" t="n">
        <v>48518</v>
      </c>
      <c r="O713" s="71" t="n">
        <v>48518</v>
      </c>
      <c r="P713" t="n">
        <v>8300.060365853658</v>
      </c>
      <c r="V713" t="n">
        <v>1</v>
      </c>
      <c r="W713" t="inlineStr">
        <is>
          <t>BALANCE TASAS</t>
        </is>
      </c>
      <c r="Y713" t="inlineStr">
        <is>
          <t>BALANCE TASAS</t>
        </is>
      </c>
      <c r="Z713" t="inlineStr">
        <is>
          <t>HTM</t>
        </is>
      </c>
      <c r="AA713" t="n">
        <v>1</v>
      </c>
    </row>
    <row r="714">
      <c r="A714" s="71" t="n">
        <v>45923</v>
      </c>
      <c r="B714" t="n">
        <v>1</v>
      </c>
      <c r="D714" t="inlineStr">
        <is>
          <t>PAS</t>
        </is>
      </c>
      <c r="E714" t="inlineStr">
        <is>
          <t>CLF</t>
        </is>
      </c>
      <c r="F714" t="inlineStr">
        <is>
          <t>CLF</t>
        </is>
      </c>
      <c r="H714" t="inlineStr">
        <is>
          <t>MT_CTA. AHORRO</t>
        </is>
      </c>
      <c r="I714" t="inlineStr">
        <is>
          <t>CTA. AHORRO G.INC_CORE_CORE</t>
        </is>
      </c>
      <c r="K714" t="n">
        <v>87</v>
      </c>
      <c r="M714" s="71" t="n">
        <v>48548</v>
      </c>
      <c r="N714" s="71" t="n">
        <v>48548</v>
      </c>
      <c r="O714" s="71" t="n">
        <v>48548</v>
      </c>
      <c r="P714" t="n">
        <v>8300.060365853658</v>
      </c>
      <c r="V714" t="n">
        <v>1</v>
      </c>
      <c r="W714" t="inlineStr">
        <is>
          <t>BALANCE TASAS</t>
        </is>
      </c>
      <c r="Y714" t="inlineStr">
        <is>
          <t>BALANCE TASAS</t>
        </is>
      </c>
      <c r="Z714" t="inlineStr">
        <is>
          <t>HTM</t>
        </is>
      </c>
      <c r="AA714" t="n">
        <v>1</v>
      </c>
    </row>
    <row r="715">
      <c r="A715" s="71" t="n">
        <v>45923</v>
      </c>
      <c r="B715" t="n">
        <v>1</v>
      </c>
      <c r="D715" t="inlineStr">
        <is>
          <t>PAS</t>
        </is>
      </c>
      <c r="E715" t="inlineStr">
        <is>
          <t>CLF</t>
        </is>
      </c>
      <c r="F715" t="inlineStr">
        <is>
          <t>CLF</t>
        </is>
      </c>
      <c r="H715" t="inlineStr">
        <is>
          <t>MT_CTA. AHORRO</t>
        </is>
      </c>
      <c r="I715" t="inlineStr">
        <is>
          <t>CTA. AHORRO G.INC_CORE_CORE</t>
        </is>
      </c>
      <c r="K715" t="n">
        <v>88</v>
      </c>
      <c r="M715" s="71" t="n">
        <v>48579</v>
      </c>
      <c r="N715" s="71" t="n">
        <v>48579</v>
      </c>
      <c r="O715" s="71" t="n">
        <v>48579</v>
      </c>
      <c r="P715" t="n">
        <v>8300.060365853658</v>
      </c>
      <c r="V715" t="n">
        <v>1</v>
      </c>
      <c r="W715" t="inlineStr">
        <is>
          <t>BALANCE TASAS</t>
        </is>
      </c>
      <c r="Y715" t="inlineStr">
        <is>
          <t>BALANCE TASAS</t>
        </is>
      </c>
      <c r="Z715" t="inlineStr">
        <is>
          <t>HTM</t>
        </is>
      </c>
      <c r="AA715" t="n">
        <v>1</v>
      </c>
    </row>
    <row r="716">
      <c r="A716" s="71" t="n">
        <v>45923</v>
      </c>
      <c r="B716" t="n">
        <v>1</v>
      </c>
      <c r="D716" t="inlineStr">
        <is>
          <t>PAS</t>
        </is>
      </c>
      <c r="E716" t="inlineStr">
        <is>
          <t>CLF</t>
        </is>
      </c>
      <c r="F716" t="inlineStr">
        <is>
          <t>CLF</t>
        </is>
      </c>
      <c r="H716" t="inlineStr">
        <is>
          <t>MT_CTA. AHORRO</t>
        </is>
      </c>
      <c r="I716" t="inlineStr">
        <is>
          <t>CTA. AHORRO G.INC_CORE_CORE</t>
        </is>
      </c>
      <c r="K716" t="n">
        <v>89</v>
      </c>
      <c r="M716" s="71" t="n">
        <v>48610</v>
      </c>
      <c r="N716" s="71" t="n">
        <v>48610</v>
      </c>
      <c r="O716" s="71" t="n">
        <v>48610</v>
      </c>
      <c r="P716" t="n">
        <v>8300.060365853658</v>
      </c>
      <c r="V716" t="n">
        <v>1</v>
      </c>
      <c r="W716" t="inlineStr">
        <is>
          <t>BALANCE TASAS</t>
        </is>
      </c>
      <c r="Y716" t="inlineStr">
        <is>
          <t>BALANCE TASAS</t>
        </is>
      </c>
      <c r="Z716" t="inlineStr">
        <is>
          <t>HTM</t>
        </is>
      </c>
      <c r="AA716" t="n">
        <v>1</v>
      </c>
    </row>
    <row r="717">
      <c r="A717" s="71" t="n">
        <v>45923</v>
      </c>
      <c r="B717" t="n">
        <v>1</v>
      </c>
      <c r="D717" t="inlineStr">
        <is>
          <t>PAS</t>
        </is>
      </c>
      <c r="E717" t="inlineStr">
        <is>
          <t>CLF</t>
        </is>
      </c>
      <c r="F717" t="inlineStr">
        <is>
          <t>CLF</t>
        </is>
      </c>
      <c r="H717" t="inlineStr">
        <is>
          <t>MT_CTA. AHORRO</t>
        </is>
      </c>
      <c r="I717" t="inlineStr">
        <is>
          <t>CTA. AHORRO G.INC_CORE_CORE</t>
        </is>
      </c>
      <c r="K717" t="n">
        <v>90</v>
      </c>
      <c r="M717" s="71" t="n">
        <v>48638</v>
      </c>
      <c r="N717" s="71" t="n">
        <v>48638</v>
      </c>
      <c r="O717" s="71" t="n">
        <v>48638</v>
      </c>
      <c r="P717" t="n">
        <v>8300.060365853658</v>
      </c>
      <c r="V717" t="n">
        <v>1</v>
      </c>
      <c r="W717" t="inlineStr">
        <is>
          <t>BALANCE TASAS</t>
        </is>
      </c>
      <c r="Y717" t="inlineStr">
        <is>
          <t>BALANCE TASAS</t>
        </is>
      </c>
      <c r="Z717" t="inlineStr">
        <is>
          <t>HTM</t>
        </is>
      </c>
      <c r="AA717" t="n">
        <v>1</v>
      </c>
    </row>
    <row r="718">
      <c r="A718" s="71" t="n">
        <v>45923</v>
      </c>
      <c r="B718" t="n">
        <v>1</v>
      </c>
      <c r="D718" t="inlineStr">
        <is>
          <t>PAS</t>
        </is>
      </c>
      <c r="E718" t="inlineStr">
        <is>
          <t>CLF</t>
        </is>
      </c>
      <c r="F718" t="inlineStr">
        <is>
          <t>CLF</t>
        </is>
      </c>
      <c r="H718" t="inlineStr">
        <is>
          <t>MT_CTA. AHORRO</t>
        </is>
      </c>
      <c r="I718" t="inlineStr">
        <is>
          <t>CTA. AHORRO G.INC_CORE_CORE</t>
        </is>
      </c>
      <c r="K718" t="n">
        <v>91</v>
      </c>
      <c r="M718" s="71" t="n">
        <v>48669</v>
      </c>
      <c r="N718" s="71" t="n">
        <v>48669</v>
      </c>
      <c r="O718" s="71" t="n">
        <v>48669</v>
      </c>
      <c r="P718" t="n">
        <v>8300.060365853658</v>
      </c>
      <c r="V718" t="n">
        <v>1</v>
      </c>
      <c r="W718" t="inlineStr">
        <is>
          <t>BALANCE TASAS</t>
        </is>
      </c>
      <c r="Y718" t="inlineStr">
        <is>
          <t>BALANCE TASAS</t>
        </is>
      </c>
      <c r="Z718" t="inlineStr">
        <is>
          <t>HTM</t>
        </is>
      </c>
      <c r="AA718" t="n">
        <v>1</v>
      </c>
    </row>
    <row r="719">
      <c r="A719" s="71" t="n">
        <v>45923</v>
      </c>
      <c r="B719" t="n">
        <v>1</v>
      </c>
      <c r="D719" t="inlineStr">
        <is>
          <t>PAS</t>
        </is>
      </c>
      <c r="E719" t="inlineStr">
        <is>
          <t>CLF</t>
        </is>
      </c>
      <c r="F719" t="inlineStr">
        <is>
          <t>CLF</t>
        </is>
      </c>
      <c r="H719" t="inlineStr">
        <is>
          <t>MT_CTA. AHORRO</t>
        </is>
      </c>
      <c r="I719" t="inlineStr">
        <is>
          <t>CTA. AHORRO G.INC_CORE_CORE</t>
        </is>
      </c>
      <c r="K719" t="n">
        <v>92</v>
      </c>
      <c r="M719" s="71" t="n">
        <v>48699</v>
      </c>
      <c r="N719" s="71" t="n">
        <v>48699</v>
      </c>
      <c r="O719" s="71" t="n">
        <v>48699</v>
      </c>
      <c r="P719" t="n">
        <v>8300.060365853658</v>
      </c>
      <c r="V719" t="n">
        <v>1</v>
      </c>
      <c r="W719" t="inlineStr">
        <is>
          <t>BALANCE TASAS</t>
        </is>
      </c>
      <c r="Y719" t="inlineStr">
        <is>
          <t>BALANCE TASAS</t>
        </is>
      </c>
      <c r="Z719" t="inlineStr">
        <is>
          <t>HTM</t>
        </is>
      </c>
      <c r="AA719" t="n">
        <v>1</v>
      </c>
    </row>
    <row r="720">
      <c r="A720" s="71" t="n">
        <v>45923</v>
      </c>
      <c r="B720" t="n">
        <v>1</v>
      </c>
      <c r="D720" t="inlineStr">
        <is>
          <t>PAS</t>
        </is>
      </c>
      <c r="E720" t="inlineStr">
        <is>
          <t>CLF</t>
        </is>
      </c>
      <c r="F720" t="inlineStr">
        <is>
          <t>CLF</t>
        </is>
      </c>
      <c r="H720" t="inlineStr">
        <is>
          <t>MT_CTA. AHORRO</t>
        </is>
      </c>
      <c r="I720" t="inlineStr">
        <is>
          <t>CTA. AHORRO G.INC_CORE_CORE</t>
        </is>
      </c>
      <c r="K720" t="n">
        <v>93</v>
      </c>
      <c r="M720" s="71" t="n">
        <v>48730</v>
      </c>
      <c r="N720" s="71" t="n">
        <v>48730</v>
      </c>
      <c r="O720" s="71" t="n">
        <v>48730</v>
      </c>
      <c r="P720" t="n">
        <v>8300.060365853658</v>
      </c>
      <c r="V720" t="n">
        <v>1</v>
      </c>
      <c r="W720" t="inlineStr">
        <is>
          <t>BALANCE TASAS</t>
        </is>
      </c>
      <c r="Y720" t="inlineStr">
        <is>
          <t>BALANCE TASAS</t>
        </is>
      </c>
      <c r="Z720" t="inlineStr">
        <is>
          <t>HTM</t>
        </is>
      </c>
      <c r="AA720" t="n">
        <v>1</v>
      </c>
    </row>
    <row r="721">
      <c r="A721" s="71" t="n">
        <v>45923</v>
      </c>
      <c r="B721" t="n">
        <v>1</v>
      </c>
      <c r="D721" t="inlineStr">
        <is>
          <t>PAS</t>
        </is>
      </c>
      <c r="E721" t="inlineStr">
        <is>
          <t>CLF</t>
        </is>
      </c>
      <c r="F721" t="inlineStr">
        <is>
          <t>CLF</t>
        </is>
      </c>
      <c r="H721" t="inlineStr">
        <is>
          <t>MT_CTA. AHORRO</t>
        </is>
      </c>
      <c r="I721" t="inlineStr">
        <is>
          <t>CTA. AHORRO G.INC_CORE_CORE</t>
        </is>
      </c>
      <c r="K721" t="n">
        <v>94</v>
      </c>
      <c r="M721" s="71" t="n">
        <v>48760</v>
      </c>
      <c r="N721" s="71" t="n">
        <v>48760</v>
      </c>
      <c r="O721" s="71" t="n">
        <v>48760</v>
      </c>
      <c r="P721" t="n">
        <v>8300.060365853658</v>
      </c>
      <c r="V721" t="n">
        <v>1</v>
      </c>
      <c r="W721" t="inlineStr">
        <is>
          <t>BALANCE TASAS</t>
        </is>
      </c>
      <c r="Y721" t="inlineStr">
        <is>
          <t>BALANCE TASAS</t>
        </is>
      </c>
      <c r="Z721" t="inlineStr">
        <is>
          <t>HTM</t>
        </is>
      </c>
      <c r="AA721" t="n">
        <v>1</v>
      </c>
    </row>
    <row r="722">
      <c r="A722" s="71" t="n">
        <v>45923</v>
      </c>
      <c r="B722" t="n">
        <v>1</v>
      </c>
      <c r="D722" t="inlineStr">
        <is>
          <t>PAS</t>
        </is>
      </c>
      <c r="E722" t="inlineStr">
        <is>
          <t>CLF</t>
        </is>
      </c>
      <c r="F722" t="inlineStr">
        <is>
          <t>CLF</t>
        </is>
      </c>
      <c r="H722" t="inlineStr">
        <is>
          <t>MT_CTA. AHORRO</t>
        </is>
      </c>
      <c r="I722" t="inlineStr">
        <is>
          <t>CTA. AHORRO G.INC_CORE_CORE</t>
        </is>
      </c>
      <c r="K722" t="n">
        <v>95</v>
      </c>
      <c r="M722" s="71" t="n">
        <v>48791</v>
      </c>
      <c r="N722" s="71" t="n">
        <v>48791</v>
      </c>
      <c r="O722" s="71" t="n">
        <v>48791</v>
      </c>
      <c r="P722" t="n">
        <v>8300.060365853658</v>
      </c>
      <c r="V722" t="n">
        <v>1</v>
      </c>
      <c r="W722" t="inlineStr">
        <is>
          <t>BALANCE TASAS</t>
        </is>
      </c>
      <c r="Y722" t="inlineStr">
        <is>
          <t>BALANCE TASAS</t>
        </is>
      </c>
      <c r="Z722" t="inlineStr">
        <is>
          <t>HTM</t>
        </is>
      </c>
      <c r="AA722" t="n">
        <v>1</v>
      </c>
    </row>
    <row r="723">
      <c r="A723" s="71" t="n">
        <v>45923</v>
      </c>
      <c r="B723" t="n">
        <v>1</v>
      </c>
      <c r="D723" t="inlineStr">
        <is>
          <t>PAS</t>
        </is>
      </c>
      <c r="E723" t="inlineStr">
        <is>
          <t>CLF</t>
        </is>
      </c>
      <c r="F723" t="inlineStr">
        <is>
          <t>CLF</t>
        </is>
      </c>
      <c r="H723" t="inlineStr">
        <is>
          <t>MT_CTA. AHORRO</t>
        </is>
      </c>
      <c r="I723" t="inlineStr">
        <is>
          <t>CTA. AHORRO G.INC_CORE_CORE</t>
        </is>
      </c>
      <c r="K723" t="n">
        <v>96</v>
      </c>
      <c r="M723" s="71" t="n">
        <v>48822</v>
      </c>
      <c r="N723" s="71" t="n">
        <v>48822</v>
      </c>
      <c r="O723" s="71" t="n">
        <v>48822</v>
      </c>
      <c r="P723" t="n">
        <v>8300.060365853658</v>
      </c>
      <c r="V723" t="n">
        <v>1</v>
      </c>
      <c r="W723" t="inlineStr">
        <is>
          <t>BALANCE TASAS</t>
        </is>
      </c>
      <c r="Y723" t="inlineStr">
        <is>
          <t>BALANCE TASAS</t>
        </is>
      </c>
      <c r="Z723" t="inlineStr">
        <is>
          <t>HTM</t>
        </is>
      </c>
      <c r="AA723" t="n">
        <v>1</v>
      </c>
    </row>
    <row r="724">
      <c r="A724" s="71" t="n">
        <v>45923</v>
      </c>
      <c r="B724" t="n">
        <v>1</v>
      </c>
      <c r="D724" t="inlineStr">
        <is>
          <t>PAS</t>
        </is>
      </c>
      <c r="E724" t="inlineStr">
        <is>
          <t>CLF</t>
        </is>
      </c>
      <c r="F724" t="inlineStr">
        <is>
          <t>CLF</t>
        </is>
      </c>
      <c r="H724" t="inlineStr">
        <is>
          <t>MT_CTA. AHORRO</t>
        </is>
      </c>
      <c r="I724" t="inlineStr">
        <is>
          <t>CTA. AHORRO G.INC_CORE_CORE</t>
        </is>
      </c>
      <c r="K724" t="n">
        <v>97</v>
      </c>
      <c r="M724" s="71" t="n">
        <v>48852</v>
      </c>
      <c r="N724" s="71" t="n">
        <v>48852</v>
      </c>
      <c r="O724" s="71" t="n">
        <v>48852</v>
      </c>
      <c r="P724" t="n">
        <v>8300.060365853658</v>
      </c>
      <c r="V724" t="n">
        <v>1</v>
      </c>
      <c r="W724" t="inlineStr">
        <is>
          <t>BALANCE TASAS</t>
        </is>
      </c>
      <c r="Y724" t="inlineStr">
        <is>
          <t>BALANCE TASAS</t>
        </is>
      </c>
      <c r="Z724" t="inlineStr">
        <is>
          <t>HTM</t>
        </is>
      </c>
      <c r="AA724" t="n">
        <v>1</v>
      </c>
    </row>
    <row r="725">
      <c r="A725" s="71" t="n">
        <v>45923</v>
      </c>
      <c r="B725" t="n">
        <v>1</v>
      </c>
      <c r="D725" t="inlineStr">
        <is>
          <t>PAS</t>
        </is>
      </c>
      <c r="E725" t="inlineStr">
        <is>
          <t>CLF</t>
        </is>
      </c>
      <c r="F725" t="inlineStr">
        <is>
          <t>CLF</t>
        </is>
      </c>
      <c r="H725" t="inlineStr">
        <is>
          <t>MT_CTA. AHORRO</t>
        </is>
      </c>
      <c r="I725" t="inlineStr">
        <is>
          <t>CTA. AHORRO G.INC_CORE_CORE</t>
        </is>
      </c>
      <c r="K725" t="n">
        <v>98</v>
      </c>
      <c r="M725" s="71" t="n">
        <v>48883</v>
      </c>
      <c r="N725" s="71" t="n">
        <v>48883</v>
      </c>
      <c r="O725" s="71" t="n">
        <v>48883</v>
      </c>
      <c r="P725" t="n">
        <v>8300.060365853658</v>
      </c>
      <c r="V725" t="n">
        <v>1</v>
      </c>
      <c r="W725" t="inlineStr">
        <is>
          <t>BALANCE TASAS</t>
        </is>
      </c>
      <c r="Y725" t="inlineStr">
        <is>
          <t>BALANCE TASAS</t>
        </is>
      </c>
      <c r="Z725" t="inlineStr">
        <is>
          <t>HTM</t>
        </is>
      </c>
      <c r="AA725" t="n">
        <v>1</v>
      </c>
    </row>
    <row r="726">
      <c r="A726" s="71" t="n">
        <v>45923</v>
      </c>
      <c r="B726" t="n">
        <v>1</v>
      </c>
      <c r="D726" t="inlineStr">
        <is>
          <t>PAS</t>
        </is>
      </c>
      <c r="E726" t="inlineStr">
        <is>
          <t>CLF</t>
        </is>
      </c>
      <c r="F726" t="inlineStr">
        <is>
          <t>CLF</t>
        </is>
      </c>
      <c r="H726" t="inlineStr">
        <is>
          <t>MT_CTA. AHORRO</t>
        </is>
      </c>
      <c r="I726" t="inlineStr">
        <is>
          <t>CTA. AHORRO G.INC_CORE_CORE</t>
        </is>
      </c>
      <c r="K726" t="n">
        <v>99</v>
      </c>
      <c r="M726" s="71" t="n">
        <v>48913</v>
      </c>
      <c r="N726" s="71" t="n">
        <v>48913</v>
      </c>
      <c r="O726" s="71" t="n">
        <v>48913</v>
      </c>
      <c r="P726" t="n">
        <v>8300.060365853658</v>
      </c>
      <c r="V726" t="n">
        <v>1</v>
      </c>
      <c r="W726" t="inlineStr">
        <is>
          <t>BALANCE TASAS</t>
        </is>
      </c>
      <c r="Y726" t="inlineStr">
        <is>
          <t>BALANCE TASAS</t>
        </is>
      </c>
      <c r="Z726" t="inlineStr">
        <is>
          <t>HTM</t>
        </is>
      </c>
      <c r="AA726" t="n">
        <v>1</v>
      </c>
    </row>
    <row r="727">
      <c r="A727" s="71" t="n">
        <v>45923</v>
      </c>
      <c r="B727" t="n">
        <v>1</v>
      </c>
      <c r="D727" t="inlineStr">
        <is>
          <t>PAS</t>
        </is>
      </c>
      <c r="E727" t="inlineStr">
        <is>
          <t>CLF</t>
        </is>
      </c>
      <c r="F727" t="inlineStr">
        <is>
          <t>CLF</t>
        </is>
      </c>
      <c r="H727" t="inlineStr">
        <is>
          <t>MT_CTA. AHORRO</t>
        </is>
      </c>
      <c r="I727" t="inlineStr">
        <is>
          <t>CTA. AHORRO G.INC_CORE_CORE</t>
        </is>
      </c>
      <c r="K727" t="n">
        <v>100</v>
      </c>
      <c r="M727" s="71" t="n">
        <v>48944</v>
      </c>
      <c r="N727" s="71" t="n">
        <v>48944</v>
      </c>
      <c r="O727" s="71" t="n">
        <v>48944</v>
      </c>
      <c r="P727" t="n">
        <v>8300.060365853658</v>
      </c>
      <c r="V727" t="n">
        <v>1</v>
      </c>
      <c r="W727" t="inlineStr">
        <is>
          <t>BALANCE TASAS</t>
        </is>
      </c>
      <c r="Y727" t="inlineStr">
        <is>
          <t>BALANCE TASAS</t>
        </is>
      </c>
      <c r="Z727" t="inlineStr">
        <is>
          <t>HTM</t>
        </is>
      </c>
      <c r="AA727" t="n">
        <v>1</v>
      </c>
    </row>
    <row r="728">
      <c r="A728" s="71" t="n">
        <v>45923</v>
      </c>
      <c r="B728" t="n">
        <v>1</v>
      </c>
      <c r="D728" t="inlineStr">
        <is>
          <t>PAS</t>
        </is>
      </c>
      <c r="E728" t="inlineStr">
        <is>
          <t>CLF</t>
        </is>
      </c>
      <c r="F728" t="inlineStr">
        <is>
          <t>CLF</t>
        </is>
      </c>
      <c r="H728" t="inlineStr">
        <is>
          <t>MT_CTA. AHORRO</t>
        </is>
      </c>
      <c r="I728" t="inlineStr">
        <is>
          <t>CTA. AHORRO G.INC_CORE_CORE</t>
        </is>
      </c>
      <c r="K728" t="n">
        <v>101</v>
      </c>
      <c r="M728" s="71" t="n">
        <v>48975</v>
      </c>
      <c r="N728" s="71" t="n">
        <v>48975</v>
      </c>
      <c r="O728" s="71" t="n">
        <v>48975</v>
      </c>
      <c r="P728" t="n">
        <v>8300.060365853658</v>
      </c>
      <c r="V728" t="n">
        <v>1</v>
      </c>
      <c r="W728" t="inlineStr">
        <is>
          <t>BALANCE TASAS</t>
        </is>
      </c>
      <c r="Y728" t="inlineStr">
        <is>
          <t>BALANCE TASAS</t>
        </is>
      </c>
      <c r="Z728" t="inlineStr">
        <is>
          <t>HTM</t>
        </is>
      </c>
      <c r="AA728" t="n">
        <v>1</v>
      </c>
    </row>
    <row r="729">
      <c r="A729" s="71" t="n">
        <v>45923</v>
      </c>
      <c r="B729" t="n">
        <v>1</v>
      </c>
      <c r="D729" t="inlineStr">
        <is>
          <t>PAS</t>
        </is>
      </c>
      <c r="E729" t="inlineStr">
        <is>
          <t>CLF</t>
        </is>
      </c>
      <c r="F729" t="inlineStr">
        <is>
          <t>CLF</t>
        </is>
      </c>
      <c r="H729" t="inlineStr">
        <is>
          <t>MT_CTA. AHORRO</t>
        </is>
      </c>
      <c r="I729" t="inlineStr">
        <is>
          <t>CTA. AHORRO G.INC_CORE_CORE</t>
        </is>
      </c>
      <c r="K729" t="n">
        <v>102</v>
      </c>
      <c r="M729" s="71" t="n">
        <v>49003</v>
      </c>
      <c r="N729" s="71" t="n">
        <v>49003</v>
      </c>
      <c r="O729" s="71" t="n">
        <v>49003</v>
      </c>
      <c r="P729" t="n">
        <v>8300.060365853658</v>
      </c>
      <c r="V729" t="n">
        <v>1</v>
      </c>
      <c r="W729" t="inlineStr">
        <is>
          <t>BALANCE TASAS</t>
        </is>
      </c>
      <c r="Y729" t="inlineStr">
        <is>
          <t>BALANCE TASAS</t>
        </is>
      </c>
      <c r="Z729" t="inlineStr">
        <is>
          <t>HTM</t>
        </is>
      </c>
      <c r="AA729" t="n">
        <v>1</v>
      </c>
    </row>
    <row r="730">
      <c r="A730" s="71" t="n">
        <v>45923</v>
      </c>
      <c r="B730" t="n">
        <v>1</v>
      </c>
      <c r="D730" t="inlineStr">
        <is>
          <t>PAS</t>
        </is>
      </c>
      <c r="E730" t="inlineStr">
        <is>
          <t>CLF</t>
        </is>
      </c>
      <c r="F730" t="inlineStr">
        <is>
          <t>CLF</t>
        </is>
      </c>
      <c r="H730" t="inlineStr">
        <is>
          <t>MT_CTA. AHORRO</t>
        </is>
      </c>
      <c r="I730" t="inlineStr">
        <is>
          <t>CTA. AHORRO G.INC_CORE_CORE</t>
        </is>
      </c>
      <c r="K730" t="n">
        <v>103</v>
      </c>
      <c r="M730" s="71" t="n">
        <v>49034</v>
      </c>
      <c r="N730" s="71" t="n">
        <v>49034</v>
      </c>
      <c r="O730" s="71" t="n">
        <v>49034</v>
      </c>
      <c r="P730" t="n">
        <v>8300.060365853658</v>
      </c>
      <c r="V730" t="n">
        <v>1</v>
      </c>
      <c r="W730" t="inlineStr">
        <is>
          <t>BALANCE TASAS</t>
        </is>
      </c>
      <c r="Y730" t="inlineStr">
        <is>
          <t>BALANCE TASAS</t>
        </is>
      </c>
      <c r="Z730" t="inlineStr">
        <is>
          <t>HTM</t>
        </is>
      </c>
      <c r="AA730" t="n">
        <v>1</v>
      </c>
    </row>
    <row r="731">
      <c r="A731" s="71" t="n">
        <v>45923</v>
      </c>
      <c r="B731" t="n">
        <v>1</v>
      </c>
      <c r="D731" t="inlineStr">
        <is>
          <t>PAS</t>
        </is>
      </c>
      <c r="E731" t="inlineStr">
        <is>
          <t>CLF</t>
        </is>
      </c>
      <c r="F731" t="inlineStr">
        <is>
          <t>CLF</t>
        </is>
      </c>
      <c r="H731" t="inlineStr">
        <is>
          <t>MT_CTA. AHORRO</t>
        </is>
      </c>
      <c r="I731" t="inlineStr">
        <is>
          <t>CTA. AHORRO G.INC_CORE_CORE</t>
        </is>
      </c>
      <c r="K731" t="n">
        <v>104</v>
      </c>
      <c r="M731" s="71" t="n">
        <v>49064</v>
      </c>
      <c r="N731" s="71" t="n">
        <v>49064</v>
      </c>
      <c r="O731" s="71" t="n">
        <v>49064</v>
      </c>
      <c r="P731" t="n">
        <v>8300.060365853658</v>
      </c>
      <c r="V731" t="n">
        <v>1</v>
      </c>
      <c r="W731" t="inlineStr">
        <is>
          <t>BALANCE TASAS</t>
        </is>
      </c>
      <c r="Y731" t="inlineStr">
        <is>
          <t>BALANCE TASAS</t>
        </is>
      </c>
      <c r="Z731" t="inlineStr">
        <is>
          <t>HTM</t>
        </is>
      </c>
      <c r="AA731" t="n">
        <v>1</v>
      </c>
    </row>
    <row r="732">
      <c r="A732" s="71" t="n">
        <v>45923</v>
      </c>
      <c r="B732" t="n">
        <v>1</v>
      </c>
      <c r="D732" t="inlineStr">
        <is>
          <t>PAS</t>
        </is>
      </c>
      <c r="E732" t="inlineStr">
        <is>
          <t>CLF</t>
        </is>
      </c>
      <c r="F732" t="inlineStr">
        <is>
          <t>CLF</t>
        </is>
      </c>
      <c r="H732" t="inlineStr">
        <is>
          <t>MT_CTA. AHORRO</t>
        </is>
      </c>
      <c r="I732" t="inlineStr">
        <is>
          <t>CTA. AHORRO G.INC_CORE_CORE</t>
        </is>
      </c>
      <c r="K732" t="n">
        <v>105</v>
      </c>
      <c r="M732" s="71" t="n">
        <v>49095</v>
      </c>
      <c r="N732" s="71" t="n">
        <v>49095</v>
      </c>
      <c r="O732" s="71" t="n">
        <v>49095</v>
      </c>
      <c r="P732" t="n">
        <v>8300.060365853658</v>
      </c>
      <c r="V732" t="n">
        <v>1</v>
      </c>
      <c r="W732" t="inlineStr">
        <is>
          <t>BALANCE TASAS</t>
        </is>
      </c>
      <c r="Y732" t="inlineStr">
        <is>
          <t>BALANCE TASAS</t>
        </is>
      </c>
      <c r="Z732" t="inlineStr">
        <is>
          <t>HTM</t>
        </is>
      </c>
      <c r="AA732" t="n">
        <v>1</v>
      </c>
    </row>
    <row r="733">
      <c r="A733" s="71" t="n">
        <v>45923</v>
      </c>
      <c r="B733" t="n">
        <v>1</v>
      </c>
      <c r="D733" t="inlineStr">
        <is>
          <t>PAS</t>
        </is>
      </c>
      <c r="E733" t="inlineStr">
        <is>
          <t>CLF</t>
        </is>
      </c>
      <c r="F733" t="inlineStr">
        <is>
          <t>CLF</t>
        </is>
      </c>
      <c r="H733" t="inlineStr">
        <is>
          <t>MT_CTA. AHORRO</t>
        </is>
      </c>
      <c r="I733" t="inlineStr">
        <is>
          <t>CTA. AHORRO G.INC_CORE_CORE</t>
        </is>
      </c>
      <c r="K733" t="n">
        <v>106</v>
      </c>
      <c r="M733" s="71" t="n">
        <v>49125</v>
      </c>
      <c r="N733" s="71" t="n">
        <v>49125</v>
      </c>
      <c r="O733" s="71" t="n">
        <v>49125</v>
      </c>
      <c r="P733" t="n">
        <v>8300.060365853658</v>
      </c>
      <c r="V733" t="n">
        <v>1</v>
      </c>
      <c r="W733" t="inlineStr">
        <is>
          <t>BALANCE TASAS</t>
        </is>
      </c>
      <c r="Y733" t="inlineStr">
        <is>
          <t>BALANCE TASAS</t>
        </is>
      </c>
      <c r="Z733" t="inlineStr">
        <is>
          <t>HTM</t>
        </is>
      </c>
      <c r="AA733" t="n">
        <v>1</v>
      </c>
    </row>
    <row r="734">
      <c r="A734" s="71" t="n">
        <v>45923</v>
      </c>
      <c r="B734" t="n">
        <v>1</v>
      </c>
      <c r="D734" t="inlineStr">
        <is>
          <t>PAS</t>
        </is>
      </c>
      <c r="E734" t="inlineStr">
        <is>
          <t>CLF</t>
        </is>
      </c>
      <c r="F734" t="inlineStr">
        <is>
          <t>CLF</t>
        </is>
      </c>
      <c r="H734" t="inlineStr">
        <is>
          <t>MT_CTA. AHORRO</t>
        </is>
      </c>
      <c r="I734" t="inlineStr">
        <is>
          <t>CTA. AHORRO G.INC_CORE_CORE</t>
        </is>
      </c>
      <c r="K734" t="n">
        <v>107</v>
      </c>
      <c r="M734" s="71" t="n">
        <v>49156</v>
      </c>
      <c r="N734" s="71" t="n">
        <v>49156</v>
      </c>
      <c r="O734" s="71" t="n">
        <v>49156</v>
      </c>
      <c r="P734" t="n">
        <v>8300.060365853658</v>
      </c>
      <c r="V734" t="n">
        <v>1</v>
      </c>
      <c r="W734" t="inlineStr">
        <is>
          <t>BALANCE TASAS</t>
        </is>
      </c>
      <c r="Y734" t="inlineStr">
        <is>
          <t>BALANCE TASAS</t>
        </is>
      </c>
      <c r="Z734" t="inlineStr">
        <is>
          <t>HTM</t>
        </is>
      </c>
      <c r="AA734" t="n">
        <v>1</v>
      </c>
    </row>
    <row r="735">
      <c r="A735" s="71" t="n">
        <v>45923</v>
      </c>
      <c r="B735" t="n">
        <v>1</v>
      </c>
      <c r="D735" t="inlineStr">
        <is>
          <t>PAS</t>
        </is>
      </c>
      <c r="E735" t="inlineStr">
        <is>
          <t>CLF</t>
        </is>
      </c>
      <c r="F735" t="inlineStr">
        <is>
          <t>CLF</t>
        </is>
      </c>
      <c r="H735" t="inlineStr">
        <is>
          <t>MT_CTA. AHORRO</t>
        </is>
      </c>
      <c r="I735" t="inlineStr">
        <is>
          <t>CTA. AHORRO G.INC_CORE_CORE</t>
        </is>
      </c>
      <c r="K735" t="n">
        <v>108</v>
      </c>
      <c r="M735" s="71" t="n">
        <v>49187</v>
      </c>
      <c r="N735" s="71" t="n">
        <v>49187</v>
      </c>
      <c r="O735" s="71" t="n">
        <v>49187</v>
      </c>
      <c r="P735" t="n">
        <v>8300.060365853658</v>
      </c>
      <c r="V735" t="n">
        <v>1</v>
      </c>
      <c r="W735" t="inlineStr">
        <is>
          <t>BALANCE TASAS</t>
        </is>
      </c>
      <c r="Y735" t="inlineStr">
        <is>
          <t>BALANCE TASAS</t>
        </is>
      </c>
      <c r="Z735" t="inlineStr">
        <is>
          <t>HTM</t>
        </is>
      </c>
      <c r="AA735" t="n">
        <v>1</v>
      </c>
    </row>
    <row r="736">
      <c r="A736" s="71" t="n">
        <v>45923</v>
      </c>
      <c r="B736" t="n">
        <v>1</v>
      </c>
      <c r="D736" t="inlineStr">
        <is>
          <t>PAS</t>
        </is>
      </c>
      <c r="E736" t="inlineStr">
        <is>
          <t>CLF</t>
        </is>
      </c>
      <c r="F736" t="inlineStr">
        <is>
          <t>CLF</t>
        </is>
      </c>
      <c r="H736" t="inlineStr">
        <is>
          <t>MT_CTA. AHORRO</t>
        </is>
      </c>
      <c r="I736" t="inlineStr">
        <is>
          <t>CTA. AHORRO G.INC_CORE_CORE</t>
        </is>
      </c>
      <c r="K736" t="n">
        <v>109</v>
      </c>
      <c r="M736" s="71" t="n">
        <v>49217</v>
      </c>
      <c r="N736" s="71" t="n">
        <v>49217</v>
      </c>
      <c r="O736" s="71" t="n">
        <v>49217</v>
      </c>
      <c r="P736" t="n">
        <v>8300.060365853658</v>
      </c>
      <c r="V736" t="n">
        <v>1</v>
      </c>
      <c r="W736" t="inlineStr">
        <is>
          <t>BALANCE TASAS</t>
        </is>
      </c>
      <c r="Y736" t="inlineStr">
        <is>
          <t>BALANCE TASAS</t>
        </is>
      </c>
      <c r="Z736" t="inlineStr">
        <is>
          <t>HTM</t>
        </is>
      </c>
      <c r="AA736" t="n">
        <v>1</v>
      </c>
    </row>
    <row r="737">
      <c r="A737" s="71" t="n">
        <v>45923</v>
      </c>
      <c r="B737" t="n">
        <v>1</v>
      </c>
      <c r="D737" t="inlineStr">
        <is>
          <t>PAS</t>
        </is>
      </c>
      <c r="E737" t="inlineStr">
        <is>
          <t>CLF</t>
        </is>
      </c>
      <c r="F737" t="inlineStr">
        <is>
          <t>CLF</t>
        </is>
      </c>
      <c r="H737" t="inlineStr">
        <is>
          <t>MT_CTA. AHORRO</t>
        </is>
      </c>
      <c r="I737" t="inlineStr">
        <is>
          <t>CTA. AHORRO G.INC_CORE_CORE</t>
        </is>
      </c>
      <c r="K737" t="n">
        <v>110</v>
      </c>
      <c r="M737" s="71" t="n">
        <v>49248</v>
      </c>
      <c r="N737" s="71" t="n">
        <v>49248</v>
      </c>
      <c r="O737" s="71" t="n">
        <v>49248</v>
      </c>
      <c r="P737" t="n">
        <v>8300.060365853658</v>
      </c>
      <c r="V737" t="n">
        <v>1</v>
      </c>
      <c r="W737" t="inlineStr">
        <is>
          <t>BALANCE TASAS</t>
        </is>
      </c>
      <c r="Y737" t="inlineStr">
        <is>
          <t>BALANCE TASAS</t>
        </is>
      </c>
      <c r="Z737" t="inlineStr">
        <is>
          <t>HTM</t>
        </is>
      </c>
      <c r="AA737" t="n">
        <v>1</v>
      </c>
    </row>
    <row r="738">
      <c r="A738" s="71" t="n">
        <v>45923</v>
      </c>
      <c r="B738" t="n">
        <v>1</v>
      </c>
      <c r="D738" t="inlineStr">
        <is>
          <t>PAS</t>
        </is>
      </c>
      <c r="E738" t="inlineStr">
        <is>
          <t>CLF</t>
        </is>
      </c>
      <c r="F738" t="inlineStr">
        <is>
          <t>CLF</t>
        </is>
      </c>
      <c r="H738" t="inlineStr">
        <is>
          <t>MT_CTA. AHORRO</t>
        </is>
      </c>
      <c r="I738" t="inlineStr">
        <is>
          <t>CTA. AHORRO G.INC_CORE_CORE</t>
        </is>
      </c>
      <c r="K738" t="n">
        <v>111</v>
      </c>
      <c r="M738" s="71" t="n">
        <v>49278</v>
      </c>
      <c r="N738" s="71" t="n">
        <v>49278</v>
      </c>
      <c r="O738" s="71" t="n">
        <v>49278</v>
      </c>
      <c r="P738" t="n">
        <v>8300.060365853658</v>
      </c>
      <c r="V738" t="n">
        <v>1</v>
      </c>
      <c r="W738" t="inlineStr">
        <is>
          <t>BALANCE TASAS</t>
        </is>
      </c>
      <c r="Y738" t="inlineStr">
        <is>
          <t>BALANCE TASAS</t>
        </is>
      </c>
      <c r="Z738" t="inlineStr">
        <is>
          <t>HTM</t>
        </is>
      </c>
      <c r="AA738" t="n">
        <v>1</v>
      </c>
    </row>
    <row r="739">
      <c r="A739" s="71" t="n">
        <v>45923</v>
      </c>
      <c r="B739" t="n">
        <v>1</v>
      </c>
      <c r="D739" t="inlineStr">
        <is>
          <t>PAS</t>
        </is>
      </c>
      <c r="E739" t="inlineStr">
        <is>
          <t>CLF</t>
        </is>
      </c>
      <c r="F739" t="inlineStr">
        <is>
          <t>CLF</t>
        </is>
      </c>
      <c r="H739" t="inlineStr">
        <is>
          <t>MT_CTA. AHORRO</t>
        </is>
      </c>
      <c r="I739" t="inlineStr">
        <is>
          <t>CTA. AHORRO G.INC_CORE_CORE</t>
        </is>
      </c>
      <c r="K739" t="n">
        <v>112</v>
      </c>
      <c r="M739" s="71" t="n">
        <v>49309</v>
      </c>
      <c r="N739" s="71" t="n">
        <v>49309</v>
      </c>
      <c r="O739" s="71" t="n">
        <v>49309</v>
      </c>
      <c r="P739" t="n">
        <v>8300.060365853658</v>
      </c>
      <c r="V739" t="n">
        <v>1</v>
      </c>
      <c r="W739" t="inlineStr">
        <is>
          <t>BALANCE TASAS</t>
        </is>
      </c>
      <c r="Y739" t="inlineStr">
        <is>
          <t>BALANCE TASAS</t>
        </is>
      </c>
      <c r="Z739" t="inlineStr">
        <is>
          <t>HTM</t>
        </is>
      </c>
      <c r="AA739" t="n">
        <v>1</v>
      </c>
    </row>
    <row r="740">
      <c r="A740" s="71" t="n">
        <v>45923</v>
      </c>
      <c r="B740" t="n">
        <v>1</v>
      </c>
      <c r="D740" t="inlineStr">
        <is>
          <t>PAS</t>
        </is>
      </c>
      <c r="E740" t="inlineStr">
        <is>
          <t>CLF</t>
        </is>
      </c>
      <c r="F740" t="inlineStr">
        <is>
          <t>CLF</t>
        </is>
      </c>
      <c r="H740" t="inlineStr">
        <is>
          <t>MT_CTA. AHORRO</t>
        </is>
      </c>
      <c r="I740" t="inlineStr">
        <is>
          <t>CTA. AHORRO G.INC_CORE_CORE</t>
        </is>
      </c>
      <c r="K740" t="n">
        <v>113</v>
      </c>
      <c r="M740" s="71" t="n">
        <v>49340</v>
      </c>
      <c r="N740" s="71" t="n">
        <v>49340</v>
      </c>
      <c r="O740" s="71" t="n">
        <v>49340</v>
      </c>
      <c r="P740" t="n">
        <v>8300.060365853658</v>
      </c>
      <c r="V740" t="n">
        <v>1</v>
      </c>
      <c r="W740" t="inlineStr">
        <is>
          <t>BALANCE TASAS</t>
        </is>
      </c>
      <c r="Y740" t="inlineStr">
        <is>
          <t>BALANCE TASAS</t>
        </is>
      </c>
      <c r="Z740" t="inlineStr">
        <is>
          <t>HTM</t>
        </is>
      </c>
      <c r="AA740" t="n">
        <v>1</v>
      </c>
    </row>
    <row r="741">
      <c r="A741" s="71" t="n">
        <v>45923</v>
      </c>
      <c r="B741" t="n">
        <v>1</v>
      </c>
      <c r="D741" t="inlineStr">
        <is>
          <t>PAS</t>
        </is>
      </c>
      <c r="E741" t="inlineStr">
        <is>
          <t>CLF</t>
        </is>
      </c>
      <c r="F741" t="inlineStr">
        <is>
          <t>CLF</t>
        </is>
      </c>
      <c r="H741" t="inlineStr">
        <is>
          <t>MT_CTA. AHORRO</t>
        </is>
      </c>
      <c r="I741" t="inlineStr">
        <is>
          <t>CTA. AHORRO G.INC_CORE_CORE</t>
        </is>
      </c>
      <c r="K741" t="n">
        <v>114</v>
      </c>
      <c r="M741" s="71" t="n">
        <v>49368</v>
      </c>
      <c r="N741" s="71" t="n">
        <v>49368</v>
      </c>
      <c r="O741" s="71" t="n">
        <v>49368</v>
      </c>
      <c r="P741" t="n">
        <v>8300.060365853658</v>
      </c>
      <c r="V741" t="n">
        <v>1</v>
      </c>
      <c r="W741" t="inlineStr">
        <is>
          <t>BALANCE TASAS</t>
        </is>
      </c>
      <c r="Y741" t="inlineStr">
        <is>
          <t>BALANCE TASAS</t>
        </is>
      </c>
      <c r="Z741" t="inlineStr">
        <is>
          <t>HTM</t>
        </is>
      </c>
      <c r="AA741" t="n">
        <v>1</v>
      </c>
    </row>
    <row r="742">
      <c r="A742" s="71" t="n">
        <v>45923</v>
      </c>
      <c r="B742" t="n">
        <v>1</v>
      </c>
      <c r="D742" t="inlineStr">
        <is>
          <t>PAS</t>
        </is>
      </c>
      <c r="E742" t="inlineStr">
        <is>
          <t>CLF</t>
        </is>
      </c>
      <c r="F742" t="inlineStr">
        <is>
          <t>CLF</t>
        </is>
      </c>
      <c r="H742" t="inlineStr">
        <is>
          <t>MT_CTA. AHORRO</t>
        </is>
      </c>
      <c r="I742" t="inlineStr">
        <is>
          <t>CTA. AHORRO G.INC_CORE_CORE</t>
        </is>
      </c>
      <c r="K742" t="n">
        <v>115</v>
      </c>
      <c r="M742" s="71" t="n">
        <v>49399</v>
      </c>
      <c r="N742" s="71" t="n">
        <v>49399</v>
      </c>
      <c r="O742" s="71" t="n">
        <v>49399</v>
      </c>
      <c r="P742" t="n">
        <v>8300.060365853658</v>
      </c>
      <c r="V742" t="n">
        <v>1</v>
      </c>
      <c r="W742" t="inlineStr">
        <is>
          <t>BALANCE TASAS</t>
        </is>
      </c>
      <c r="Y742" t="inlineStr">
        <is>
          <t>BALANCE TASAS</t>
        </is>
      </c>
      <c r="Z742" t="inlineStr">
        <is>
          <t>HTM</t>
        </is>
      </c>
      <c r="AA742" t="n">
        <v>1</v>
      </c>
    </row>
    <row r="743">
      <c r="A743" s="71" t="n">
        <v>45923</v>
      </c>
      <c r="B743" t="n">
        <v>1</v>
      </c>
      <c r="D743" t="inlineStr">
        <is>
          <t>PAS</t>
        </is>
      </c>
      <c r="E743" t="inlineStr">
        <is>
          <t>CLF</t>
        </is>
      </c>
      <c r="F743" t="inlineStr">
        <is>
          <t>CLF</t>
        </is>
      </c>
      <c r="H743" t="inlineStr">
        <is>
          <t>MT_CTA. AHORRO</t>
        </is>
      </c>
      <c r="I743" t="inlineStr">
        <is>
          <t>CTA. AHORRO G.INC_CORE_CORE</t>
        </is>
      </c>
      <c r="K743" t="n">
        <v>116</v>
      </c>
      <c r="M743" s="71" t="n">
        <v>49429</v>
      </c>
      <c r="N743" s="71" t="n">
        <v>49429</v>
      </c>
      <c r="O743" s="71" t="n">
        <v>49429</v>
      </c>
      <c r="P743" t="n">
        <v>8300.060365853658</v>
      </c>
      <c r="V743" t="n">
        <v>1</v>
      </c>
      <c r="W743" t="inlineStr">
        <is>
          <t>BALANCE TASAS</t>
        </is>
      </c>
      <c r="Y743" t="inlineStr">
        <is>
          <t>BALANCE TASAS</t>
        </is>
      </c>
      <c r="Z743" t="inlineStr">
        <is>
          <t>HTM</t>
        </is>
      </c>
      <c r="AA743" t="n">
        <v>1</v>
      </c>
    </row>
    <row r="744">
      <c r="A744" s="71" t="n">
        <v>45923</v>
      </c>
      <c r="B744" t="n">
        <v>1</v>
      </c>
      <c r="D744" t="inlineStr">
        <is>
          <t>PAS</t>
        </is>
      </c>
      <c r="E744" t="inlineStr">
        <is>
          <t>CLF</t>
        </is>
      </c>
      <c r="F744" t="inlineStr">
        <is>
          <t>CLF</t>
        </is>
      </c>
      <c r="H744" t="inlineStr">
        <is>
          <t>MT_CTA. AHORRO</t>
        </is>
      </c>
      <c r="I744" t="inlineStr">
        <is>
          <t>CTA. AHORRO G.INC_CORE_CORE</t>
        </is>
      </c>
      <c r="K744" t="n">
        <v>117</v>
      </c>
      <c r="M744" s="71" t="n">
        <v>49460</v>
      </c>
      <c r="N744" s="71" t="n">
        <v>49460</v>
      </c>
      <c r="O744" s="71" t="n">
        <v>49460</v>
      </c>
      <c r="P744" t="n">
        <v>8300.060365853658</v>
      </c>
      <c r="V744" t="n">
        <v>1</v>
      </c>
      <c r="W744" t="inlineStr">
        <is>
          <t>BALANCE TASAS</t>
        </is>
      </c>
      <c r="Y744" t="inlineStr">
        <is>
          <t>BALANCE TASAS</t>
        </is>
      </c>
      <c r="Z744" t="inlineStr">
        <is>
          <t>HTM</t>
        </is>
      </c>
      <c r="AA744" t="n">
        <v>1</v>
      </c>
    </row>
    <row r="745">
      <c r="A745" s="71" t="n">
        <v>45923</v>
      </c>
      <c r="B745" t="n">
        <v>1</v>
      </c>
      <c r="D745" t="inlineStr">
        <is>
          <t>PAS</t>
        </is>
      </c>
      <c r="E745" t="inlineStr">
        <is>
          <t>CLF</t>
        </is>
      </c>
      <c r="F745" t="inlineStr">
        <is>
          <t>CLF</t>
        </is>
      </c>
      <c r="H745" t="inlineStr">
        <is>
          <t>MT_CTA. AHORRO</t>
        </is>
      </c>
      <c r="I745" t="inlineStr">
        <is>
          <t>CTA. AHORRO G.INC_CORE_CORE</t>
        </is>
      </c>
      <c r="K745" t="n">
        <v>118</v>
      </c>
      <c r="M745" s="71" t="n">
        <v>49490</v>
      </c>
      <c r="N745" s="71" t="n">
        <v>49490</v>
      </c>
      <c r="O745" s="71" t="n">
        <v>49490</v>
      </c>
      <c r="P745" t="n">
        <v>8300.060365853658</v>
      </c>
      <c r="V745" t="n">
        <v>1</v>
      </c>
      <c r="W745" t="inlineStr">
        <is>
          <t>BALANCE TASAS</t>
        </is>
      </c>
      <c r="Y745" t="inlineStr">
        <is>
          <t>BALANCE TASAS</t>
        </is>
      </c>
      <c r="Z745" t="inlineStr">
        <is>
          <t>HTM</t>
        </is>
      </c>
      <c r="AA745" t="n">
        <v>1</v>
      </c>
    </row>
    <row r="746">
      <c r="A746" s="71" t="n">
        <v>45923</v>
      </c>
      <c r="B746" t="n">
        <v>1</v>
      </c>
      <c r="D746" t="inlineStr">
        <is>
          <t>PAS</t>
        </is>
      </c>
      <c r="E746" t="inlineStr">
        <is>
          <t>CLF</t>
        </is>
      </c>
      <c r="F746" t="inlineStr">
        <is>
          <t>CLF</t>
        </is>
      </c>
      <c r="H746" t="inlineStr">
        <is>
          <t>MT_CTA. AHORRO</t>
        </is>
      </c>
      <c r="I746" t="inlineStr">
        <is>
          <t>CTA. AHORRO G.INC_CORE_CORE</t>
        </is>
      </c>
      <c r="K746" t="n">
        <v>119</v>
      </c>
      <c r="M746" s="71" t="n">
        <v>49521</v>
      </c>
      <c r="N746" s="71" t="n">
        <v>49521</v>
      </c>
      <c r="O746" s="71" t="n">
        <v>49521</v>
      </c>
      <c r="P746" t="n">
        <v>8300.060365853658</v>
      </c>
      <c r="V746" t="n">
        <v>1</v>
      </c>
      <c r="W746" t="inlineStr">
        <is>
          <t>BALANCE TASAS</t>
        </is>
      </c>
      <c r="Y746" t="inlineStr">
        <is>
          <t>BALANCE TASAS</t>
        </is>
      </c>
      <c r="Z746" t="inlineStr">
        <is>
          <t>HTM</t>
        </is>
      </c>
      <c r="AA746" t="n">
        <v>1</v>
      </c>
    </row>
    <row r="747">
      <c r="A747" s="71" t="n">
        <v>45923</v>
      </c>
      <c r="B747" t="n">
        <v>1</v>
      </c>
      <c r="D747" t="inlineStr">
        <is>
          <t>PAS</t>
        </is>
      </c>
      <c r="E747" t="inlineStr">
        <is>
          <t>CLF</t>
        </is>
      </c>
      <c r="F747" t="inlineStr">
        <is>
          <t>CLF</t>
        </is>
      </c>
      <c r="H747" t="inlineStr">
        <is>
          <t>MT_CTA. AHORRO</t>
        </is>
      </c>
      <c r="I747" t="inlineStr">
        <is>
          <t>CTA. AHORRO G.INC_CORE_CORE</t>
        </is>
      </c>
      <c r="K747" t="n">
        <v>120</v>
      </c>
      <c r="M747" s="71" t="n">
        <v>49552</v>
      </c>
      <c r="N747" s="71" t="n">
        <v>49552</v>
      </c>
      <c r="O747" s="71" t="n">
        <v>49552</v>
      </c>
      <c r="P747" t="n">
        <v>8300.060365853658</v>
      </c>
      <c r="V747" t="n">
        <v>1</v>
      </c>
      <c r="W747" t="inlineStr">
        <is>
          <t>BALANCE TASAS</t>
        </is>
      </c>
      <c r="Y747" t="inlineStr">
        <is>
          <t>BALANCE TASAS</t>
        </is>
      </c>
      <c r="Z747" t="inlineStr">
        <is>
          <t>HTM</t>
        </is>
      </c>
      <c r="AA747" t="n">
        <v>1</v>
      </c>
    </row>
    <row r="748">
      <c r="A748" s="71" t="n">
        <v>45923</v>
      </c>
      <c r="B748" t="n">
        <v>1</v>
      </c>
      <c r="D748" t="inlineStr">
        <is>
          <t>PAS</t>
        </is>
      </c>
      <c r="E748" t="inlineStr">
        <is>
          <t>CLF</t>
        </is>
      </c>
      <c r="F748" t="inlineStr">
        <is>
          <t>CLF</t>
        </is>
      </c>
      <c r="H748" t="inlineStr">
        <is>
          <t>MT_CTA. AHORRO</t>
        </is>
      </c>
      <c r="I748" t="inlineStr">
        <is>
          <t>CTA. AHORRO G.INC_CORE_CORE</t>
        </is>
      </c>
      <c r="K748" t="n">
        <v>121</v>
      </c>
      <c r="M748" s="71" t="n">
        <v>49582</v>
      </c>
      <c r="N748" s="71" t="n">
        <v>49582</v>
      </c>
      <c r="O748" s="71" t="n">
        <v>49582</v>
      </c>
      <c r="P748" t="n">
        <v>8300.060365853658</v>
      </c>
      <c r="V748" t="n">
        <v>1</v>
      </c>
      <c r="W748" t="inlineStr">
        <is>
          <t>BALANCE TASAS</t>
        </is>
      </c>
      <c r="Y748" t="inlineStr">
        <is>
          <t>BALANCE TASAS</t>
        </is>
      </c>
      <c r="Z748" t="inlineStr">
        <is>
          <t>HTM</t>
        </is>
      </c>
      <c r="AA748" t="n">
        <v>1</v>
      </c>
    </row>
    <row r="749">
      <c r="A749" s="71" t="n">
        <v>45923</v>
      </c>
      <c r="B749" t="n">
        <v>1</v>
      </c>
      <c r="D749" t="inlineStr">
        <is>
          <t>PAS</t>
        </is>
      </c>
      <c r="E749" t="inlineStr">
        <is>
          <t>CLF</t>
        </is>
      </c>
      <c r="F749" t="inlineStr">
        <is>
          <t>CLF</t>
        </is>
      </c>
      <c r="H749" t="inlineStr">
        <is>
          <t>MT_CTA. AHORRO</t>
        </is>
      </c>
      <c r="I749" t="inlineStr">
        <is>
          <t>CTA. AHORRO G.INC_CORE_CORE</t>
        </is>
      </c>
      <c r="K749" t="n">
        <v>122</v>
      </c>
      <c r="M749" s="71" t="n">
        <v>49613</v>
      </c>
      <c r="N749" s="71" t="n">
        <v>49613</v>
      </c>
      <c r="O749" s="71" t="n">
        <v>49613</v>
      </c>
      <c r="P749" t="n">
        <v>8300.060365853658</v>
      </c>
      <c r="V749" t="n">
        <v>1</v>
      </c>
      <c r="W749" t="inlineStr">
        <is>
          <t>BALANCE TASAS</t>
        </is>
      </c>
      <c r="Y749" t="inlineStr">
        <is>
          <t>BALANCE TASAS</t>
        </is>
      </c>
      <c r="Z749" t="inlineStr">
        <is>
          <t>HTM</t>
        </is>
      </c>
      <c r="AA749" t="n">
        <v>1</v>
      </c>
    </row>
    <row r="750">
      <c r="A750" s="71" t="n">
        <v>45923</v>
      </c>
      <c r="B750" t="n">
        <v>1</v>
      </c>
      <c r="D750" t="inlineStr">
        <is>
          <t>PAS</t>
        </is>
      </c>
      <c r="E750" t="inlineStr">
        <is>
          <t>CLF</t>
        </is>
      </c>
      <c r="F750" t="inlineStr">
        <is>
          <t>CLF</t>
        </is>
      </c>
      <c r="H750" t="inlineStr">
        <is>
          <t>MT_CTA. AHORRO</t>
        </is>
      </c>
      <c r="I750" t="inlineStr">
        <is>
          <t>CTA. AHORRO G.INC_CORE_CORE</t>
        </is>
      </c>
      <c r="K750" t="n">
        <v>123</v>
      </c>
      <c r="M750" s="71" t="n">
        <v>49643</v>
      </c>
      <c r="N750" s="71" t="n">
        <v>49643</v>
      </c>
      <c r="O750" s="71" t="n">
        <v>49643</v>
      </c>
      <c r="P750" t="n">
        <v>8300.060365853658</v>
      </c>
      <c r="V750" t="n">
        <v>1</v>
      </c>
      <c r="W750" t="inlineStr">
        <is>
          <t>BALANCE TASAS</t>
        </is>
      </c>
      <c r="Y750" t="inlineStr">
        <is>
          <t>BALANCE TASAS</t>
        </is>
      </c>
      <c r="Z750" t="inlineStr">
        <is>
          <t>HTM</t>
        </is>
      </c>
      <c r="AA750" t="n">
        <v>1</v>
      </c>
    </row>
    <row r="751">
      <c r="A751" s="71" t="n">
        <v>45923</v>
      </c>
      <c r="B751" t="n">
        <v>1</v>
      </c>
      <c r="D751" t="inlineStr">
        <is>
          <t>PAS</t>
        </is>
      </c>
      <c r="E751" t="inlineStr">
        <is>
          <t>CLF</t>
        </is>
      </c>
      <c r="F751" t="inlineStr">
        <is>
          <t>CLF</t>
        </is>
      </c>
      <c r="H751" t="inlineStr">
        <is>
          <t>MT_CTA. AHORRO</t>
        </is>
      </c>
      <c r="I751" t="inlineStr">
        <is>
          <t>CTA. AHORRO G.INC_CORE_CORE</t>
        </is>
      </c>
      <c r="K751" t="n">
        <v>124</v>
      </c>
      <c r="M751" s="71" t="n">
        <v>49674</v>
      </c>
      <c r="N751" s="71" t="n">
        <v>49674</v>
      </c>
      <c r="O751" s="71" t="n">
        <v>49674</v>
      </c>
      <c r="P751" t="n">
        <v>8300.060365853658</v>
      </c>
      <c r="V751" t="n">
        <v>1</v>
      </c>
      <c r="W751" t="inlineStr">
        <is>
          <t>BALANCE TASAS</t>
        </is>
      </c>
      <c r="Y751" t="inlineStr">
        <is>
          <t>BALANCE TASAS</t>
        </is>
      </c>
      <c r="Z751" t="inlineStr">
        <is>
          <t>HTM</t>
        </is>
      </c>
      <c r="AA751" t="n">
        <v>1</v>
      </c>
    </row>
    <row r="752">
      <c r="A752" s="71" t="n">
        <v>45923</v>
      </c>
      <c r="B752" t="n">
        <v>1</v>
      </c>
      <c r="D752" t="inlineStr">
        <is>
          <t>PAS</t>
        </is>
      </c>
      <c r="E752" t="inlineStr">
        <is>
          <t>CLF</t>
        </is>
      </c>
      <c r="F752" t="inlineStr">
        <is>
          <t>CLF</t>
        </is>
      </c>
      <c r="H752" t="inlineStr">
        <is>
          <t>MT_CTA. AHORRO</t>
        </is>
      </c>
      <c r="I752" t="inlineStr">
        <is>
          <t>CTA. AHORRO G.INC_CORE_CORE</t>
        </is>
      </c>
      <c r="K752" t="n">
        <v>125</v>
      </c>
      <c r="M752" s="71" t="n">
        <v>49705</v>
      </c>
      <c r="N752" s="71" t="n">
        <v>49705</v>
      </c>
      <c r="O752" s="71" t="n">
        <v>49705</v>
      </c>
      <c r="P752" t="n">
        <v>8300.060365853658</v>
      </c>
      <c r="V752" t="n">
        <v>1</v>
      </c>
      <c r="W752" t="inlineStr">
        <is>
          <t>BALANCE TASAS</t>
        </is>
      </c>
      <c r="Y752" t="inlineStr">
        <is>
          <t>BALANCE TASAS</t>
        </is>
      </c>
      <c r="Z752" t="inlineStr">
        <is>
          <t>HTM</t>
        </is>
      </c>
      <c r="AA752" t="n">
        <v>1</v>
      </c>
    </row>
    <row r="753">
      <c r="A753" s="71" t="n">
        <v>45923</v>
      </c>
      <c r="B753" t="n">
        <v>1</v>
      </c>
      <c r="D753" t="inlineStr">
        <is>
          <t>PAS</t>
        </is>
      </c>
      <c r="E753" t="inlineStr">
        <is>
          <t>CLF</t>
        </is>
      </c>
      <c r="F753" t="inlineStr">
        <is>
          <t>CLF</t>
        </is>
      </c>
      <c r="H753" t="inlineStr">
        <is>
          <t>MT_CTA. AHORRO</t>
        </is>
      </c>
      <c r="I753" t="inlineStr">
        <is>
          <t>CTA. AHORRO G.INC_CORE_CORE</t>
        </is>
      </c>
      <c r="K753" t="n">
        <v>126</v>
      </c>
      <c r="M753" s="71" t="n">
        <v>49734</v>
      </c>
      <c r="N753" s="71" t="n">
        <v>49734</v>
      </c>
      <c r="O753" s="71" t="n">
        <v>49734</v>
      </c>
      <c r="P753" t="n">
        <v>8300.060365853658</v>
      </c>
      <c r="V753" t="n">
        <v>1</v>
      </c>
      <c r="W753" t="inlineStr">
        <is>
          <t>BALANCE TASAS</t>
        </is>
      </c>
      <c r="Y753" t="inlineStr">
        <is>
          <t>BALANCE TASAS</t>
        </is>
      </c>
      <c r="Z753" t="inlineStr">
        <is>
          <t>HTM</t>
        </is>
      </c>
      <c r="AA753" t="n">
        <v>1</v>
      </c>
    </row>
    <row r="754">
      <c r="A754" s="71" t="n">
        <v>45923</v>
      </c>
      <c r="B754" t="n">
        <v>1</v>
      </c>
      <c r="D754" t="inlineStr">
        <is>
          <t>PAS</t>
        </is>
      </c>
      <c r="E754" t="inlineStr">
        <is>
          <t>CLF</t>
        </is>
      </c>
      <c r="F754" t="inlineStr">
        <is>
          <t>CLF</t>
        </is>
      </c>
      <c r="H754" t="inlineStr">
        <is>
          <t>MT_CTA. AHORRO</t>
        </is>
      </c>
      <c r="I754" t="inlineStr">
        <is>
          <t>CTA. AHORRO G.INC_CORE_CORE</t>
        </is>
      </c>
      <c r="K754" t="n">
        <v>127</v>
      </c>
      <c r="M754" s="71" t="n">
        <v>49765</v>
      </c>
      <c r="N754" s="71" t="n">
        <v>49765</v>
      </c>
      <c r="O754" s="71" t="n">
        <v>49765</v>
      </c>
      <c r="P754" t="n">
        <v>8300.060365853658</v>
      </c>
      <c r="V754" t="n">
        <v>1</v>
      </c>
      <c r="W754" t="inlineStr">
        <is>
          <t>BALANCE TASAS</t>
        </is>
      </c>
      <c r="Y754" t="inlineStr">
        <is>
          <t>BALANCE TASAS</t>
        </is>
      </c>
      <c r="Z754" t="inlineStr">
        <is>
          <t>HTM</t>
        </is>
      </c>
      <c r="AA754" t="n">
        <v>1</v>
      </c>
    </row>
    <row r="755">
      <c r="A755" s="71" t="n">
        <v>45923</v>
      </c>
      <c r="B755" t="n">
        <v>1</v>
      </c>
      <c r="D755" t="inlineStr">
        <is>
          <t>PAS</t>
        </is>
      </c>
      <c r="E755" t="inlineStr">
        <is>
          <t>CLF</t>
        </is>
      </c>
      <c r="F755" t="inlineStr">
        <is>
          <t>CLF</t>
        </is>
      </c>
      <c r="H755" t="inlineStr">
        <is>
          <t>MT_CTA. AHORRO</t>
        </is>
      </c>
      <c r="I755" t="inlineStr">
        <is>
          <t>CTA. AHORRO G.INC_CORE_CORE</t>
        </is>
      </c>
      <c r="K755" t="n">
        <v>128</v>
      </c>
      <c r="M755" s="71" t="n">
        <v>49795</v>
      </c>
      <c r="N755" s="71" t="n">
        <v>49795</v>
      </c>
      <c r="O755" s="71" t="n">
        <v>49795</v>
      </c>
      <c r="P755" t="n">
        <v>13.74786585365854</v>
      </c>
      <c r="V755" t="n">
        <v>1</v>
      </c>
      <c r="W755" t="inlineStr">
        <is>
          <t>BALANCE TASAS</t>
        </is>
      </c>
      <c r="Y755" t="inlineStr">
        <is>
          <t>BALANCE TASAS</t>
        </is>
      </c>
      <c r="Z755" t="inlineStr">
        <is>
          <t>HTM</t>
        </is>
      </c>
      <c r="AA755" t="n">
        <v>1</v>
      </c>
    </row>
    <row r="756">
      <c r="A756" s="71" t="n">
        <v>45923</v>
      </c>
      <c r="B756" t="n">
        <v>1</v>
      </c>
      <c r="D756" t="inlineStr">
        <is>
          <t>PAS</t>
        </is>
      </c>
      <c r="E756" t="inlineStr">
        <is>
          <t>CLF</t>
        </is>
      </c>
      <c r="F756" t="inlineStr">
        <is>
          <t>CLF</t>
        </is>
      </c>
      <c r="H756" t="inlineStr">
        <is>
          <t>MT_CTA. AHORRO</t>
        </is>
      </c>
      <c r="I756" t="inlineStr">
        <is>
          <t>CTA. AHORRO G.INC_CORE_CORE</t>
        </is>
      </c>
      <c r="K756" t="n">
        <v>129</v>
      </c>
      <c r="M756" s="71" t="n">
        <v>49826</v>
      </c>
      <c r="N756" s="71" t="n">
        <v>49826</v>
      </c>
      <c r="O756" s="71" t="n">
        <v>49826</v>
      </c>
      <c r="P756" t="n">
        <v>13.74786585365854</v>
      </c>
      <c r="V756" t="n">
        <v>1</v>
      </c>
      <c r="W756" t="inlineStr">
        <is>
          <t>BALANCE TASAS</t>
        </is>
      </c>
      <c r="Y756" t="inlineStr">
        <is>
          <t>BALANCE TASAS</t>
        </is>
      </c>
      <c r="Z756" t="inlineStr">
        <is>
          <t>HTM</t>
        </is>
      </c>
      <c r="AA756" t="n">
        <v>1</v>
      </c>
    </row>
    <row r="757">
      <c r="A757" s="71" t="n">
        <v>45923</v>
      </c>
      <c r="B757" t="n">
        <v>1</v>
      </c>
      <c r="D757" t="inlineStr">
        <is>
          <t>PAS</t>
        </is>
      </c>
      <c r="E757" t="inlineStr">
        <is>
          <t>CLF</t>
        </is>
      </c>
      <c r="F757" t="inlineStr">
        <is>
          <t>CLF</t>
        </is>
      </c>
      <c r="H757" t="inlineStr">
        <is>
          <t>MT_CTA. AHORRO</t>
        </is>
      </c>
      <c r="I757" t="inlineStr">
        <is>
          <t>CTA. AHORRO G.INC_CORE_CORE</t>
        </is>
      </c>
      <c r="K757" t="n">
        <v>130</v>
      </c>
      <c r="M757" s="71" t="n">
        <v>49856</v>
      </c>
      <c r="N757" s="71" t="n">
        <v>49856</v>
      </c>
      <c r="O757" s="71" t="n">
        <v>49856</v>
      </c>
      <c r="P757" t="n">
        <v>13.74786585365854</v>
      </c>
      <c r="V757" t="n">
        <v>1</v>
      </c>
      <c r="W757" t="inlineStr">
        <is>
          <t>BALANCE TASAS</t>
        </is>
      </c>
      <c r="Y757" t="inlineStr">
        <is>
          <t>BALANCE TASAS</t>
        </is>
      </c>
      <c r="Z757" t="inlineStr">
        <is>
          <t>HTM</t>
        </is>
      </c>
      <c r="AA757" t="n">
        <v>1</v>
      </c>
    </row>
    <row r="758">
      <c r="A758" s="71" t="n">
        <v>45923</v>
      </c>
      <c r="B758" t="n">
        <v>1</v>
      </c>
      <c r="D758" t="inlineStr">
        <is>
          <t>PAS</t>
        </is>
      </c>
      <c r="E758" t="inlineStr">
        <is>
          <t>CLF</t>
        </is>
      </c>
      <c r="F758" t="inlineStr">
        <is>
          <t>CLF</t>
        </is>
      </c>
      <c r="H758" t="inlineStr">
        <is>
          <t>MT_CTA. AHORRO</t>
        </is>
      </c>
      <c r="I758" t="inlineStr">
        <is>
          <t>CTA. AHORRO G.INC_CORE_CORE</t>
        </is>
      </c>
      <c r="K758" t="n">
        <v>131</v>
      </c>
      <c r="M758" s="71" t="n">
        <v>49887</v>
      </c>
      <c r="N758" s="71" t="n">
        <v>49887</v>
      </c>
      <c r="O758" s="71" t="n">
        <v>49887</v>
      </c>
      <c r="P758" t="n">
        <v>13.74786585365854</v>
      </c>
      <c r="V758" t="n">
        <v>1</v>
      </c>
      <c r="W758" t="inlineStr">
        <is>
          <t>BALANCE TASAS</t>
        </is>
      </c>
      <c r="Y758" t="inlineStr">
        <is>
          <t>BALANCE TASAS</t>
        </is>
      </c>
      <c r="Z758" t="inlineStr">
        <is>
          <t>HTM</t>
        </is>
      </c>
      <c r="AA758" t="n">
        <v>1</v>
      </c>
    </row>
    <row r="759">
      <c r="A759" s="71" t="n">
        <v>45923</v>
      </c>
      <c r="B759" t="n">
        <v>1</v>
      </c>
      <c r="D759" t="inlineStr">
        <is>
          <t>PAS</t>
        </is>
      </c>
      <c r="E759" t="inlineStr">
        <is>
          <t>CLF</t>
        </is>
      </c>
      <c r="F759" t="inlineStr">
        <is>
          <t>CLF</t>
        </is>
      </c>
      <c r="H759" t="inlineStr">
        <is>
          <t>MT_CTA. AHORRO</t>
        </is>
      </c>
      <c r="I759" t="inlineStr">
        <is>
          <t>CTA. AHORRO G.INC_CORE_CORE</t>
        </is>
      </c>
      <c r="K759" t="n">
        <v>132</v>
      </c>
      <c r="M759" s="71" t="n">
        <v>49918</v>
      </c>
      <c r="N759" s="71" t="n">
        <v>49918</v>
      </c>
      <c r="O759" s="71" t="n">
        <v>49918</v>
      </c>
      <c r="P759" t="n">
        <v>13.74786585365854</v>
      </c>
      <c r="V759" t="n">
        <v>1</v>
      </c>
      <c r="W759" t="inlineStr">
        <is>
          <t>BALANCE TASAS</t>
        </is>
      </c>
      <c r="Y759" t="inlineStr">
        <is>
          <t>BALANCE TASAS</t>
        </is>
      </c>
      <c r="Z759" t="inlineStr">
        <is>
          <t>HTM</t>
        </is>
      </c>
      <c r="AA759" t="n">
        <v>1</v>
      </c>
    </row>
    <row r="760">
      <c r="A760" s="71" t="n">
        <v>45923</v>
      </c>
      <c r="B760" t="n">
        <v>1</v>
      </c>
      <c r="D760" t="inlineStr">
        <is>
          <t>PAS</t>
        </is>
      </c>
      <c r="E760" t="inlineStr">
        <is>
          <t>CLF</t>
        </is>
      </c>
      <c r="F760" t="inlineStr">
        <is>
          <t>CLF</t>
        </is>
      </c>
      <c r="H760" t="inlineStr">
        <is>
          <t>MT_CTA. AHORRO</t>
        </is>
      </c>
      <c r="I760" t="inlineStr">
        <is>
          <t>CTA. AHORRO G.INC_CORE_CORE</t>
        </is>
      </c>
      <c r="K760" t="n">
        <v>133</v>
      </c>
      <c r="M760" s="71" t="n">
        <v>49948</v>
      </c>
      <c r="N760" s="71" t="n">
        <v>49948</v>
      </c>
      <c r="O760" s="71" t="n">
        <v>49948</v>
      </c>
      <c r="P760" t="n">
        <v>13.74786585365854</v>
      </c>
      <c r="V760" t="n">
        <v>1</v>
      </c>
      <c r="W760" t="inlineStr">
        <is>
          <t>BALANCE TASAS</t>
        </is>
      </c>
      <c r="Y760" t="inlineStr">
        <is>
          <t>BALANCE TASAS</t>
        </is>
      </c>
      <c r="Z760" t="inlineStr">
        <is>
          <t>HTM</t>
        </is>
      </c>
      <c r="AA760" t="n">
        <v>1</v>
      </c>
    </row>
    <row r="761">
      <c r="A761" s="71" t="n">
        <v>45923</v>
      </c>
      <c r="B761" t="n">
        <v>1</v>
      </c>
      <c r="D761" t="inlineStr">
        <is>
          <t>PAS</t>
        </is>
      </c>
      <c r="E761" t="inlineStr">
        <is>
          <t>CLF</t>
        </is>
      </c>
      <c r="F761" t="inlineStr">
        <is>
          <t>CLF</t>
        </is>
      </c>
      <c r="H761" t="inlineStr">
        <is>
          <t>MT_CTA. AHORRO</t>
        </is>
      </c>
      <c r="I761" t="inlineStr">
        <is>
          <t>CTA. AHORRO G.INC_CORE_CORE</t>
        </is>
      </c>
      <c r="K761" t="n">
        <v>134</v>
      </c>
      <c r="M761" s="71" t="n">
        <v>49979</v>
      </c>
      <c r="N761" s="71" t="n">
        <v>49979</v>
      </c>
      <c r="O761" s="71" t="n">
        <v>49979</v>
      </c>
      <c r="P761" t="n">
        <v>13.74786585365854</v>
      </c>
      <c r="V761" t="n">
        <v>1</v>
      </c>
      <c r="W761" t="inlineStr">
        <is>
          <t>BALANCE TASAS</t>
        </is>
      </c>
      <c r="Y761" t="inlineStr">
        <is>
          <t>BALANCE TASAS</t>
        </is>
      </c>
      <c r="Z761" t="inlineStr">
        <is>
          <t>HTM</t>
        </is>
      </c>
      <c r="AA761" t="n">
        <v>1</v>
      </c>
    </row>
    <row r="762">
      <c r="A762" s="71" t="n">
        <v>45923</v>
      </c>
      <c r="B762" t="n">
        <v>1</v>
      </c>
      <c r="D762" t="inlineStr">
        <is>
          <t>PAS</t>
        </is>
      </c>
      <c r="E762" t="inlineStr">
        <is>
          <t>CLF</t>
        </is>
      </c>
      <c r="F762" t="inlineStr">
        <is>
          <t>CLF</t>
        </is>
      </c>
      <c r="H762" t="inlineStr">
        <is>
          <t>MT_CTA. AHORRO</t>
        </is>
      </c>
      <c r="I762" t="inlineStr">
        <is>
          <t>CTA. AHORRO G.INC_CORE_CORE</t>
        </is>
      </c>
      <c r="K762" t="n">
        <v>135</v>
      </c>
      <c r="M762" s="71" t="n">
        <v>50009</v>
      </c>
      <c r="N762" s="71" t="n">
        <v>50009</v>
      </c>
      <c r="O762" s="71" t="n">
        <v>50009</v>
      </c>
      <c r="P762" t="n">
        <v>13.74786585365854</v>
      </c>
      <c r="V762" t="n">
        <v>1</v>
      </c>
      <c r="W762" t="inlineStr">
        <is>
          <t>BALANCE TASAS</t>
        </is>
      </c>
      <c r="Y762" t="inlineStr">
        <is>
          <t>BALANCE TASAS</t>
        </is>
      </c>
      <c r="Z762" t="inlineStr">
        <is>
          <t>HTM</t>
        </is>
      </c>
      <c r="AA762" t="n">
        <v>1</v>
      </c>
    </row>
    <row r="763">
      <c r="A763" s="71" t="n">
        <v>45923</v>
      </c>
      <c r="B763" t="n">
        <v>1</v>
      </c>
      <c r="D763" t="inlineStr">
        <is>
          <t>PAS</t>
        </is>
      </c>
      <c r="E763" t="inlineStr">
        <is>
          <t>CLF</t>
        </is>
      </c>
      <c r="F763" t="inlineStr">
        <is>
          <t>CLF</t>
        </is>
      </c>
      <c r="H763" t="inlineStr">
        <is>
          <t>MT_CTA. AHORRO</t>
        </is>
      </c>
      <c r="I763" t="inlineStr">
        <is>
          <t>CTA. AHORRO G.INC_CORE_CORE</t>
        </is>
      </c>
      <c r="K763" t="n">
        <v>136</v>
      </c>
      <c r="M763" s="71" t="n">
        <v>50040</v>
      </c>
      <c r="N763" s="71" t="n">
        <v>50040</v>
      </c>
      <c r="O763" s="71" t="n">
        <v>50040</v>
      </c>
      <c r="P763" t="n">
        <v>13.74786585365854</v>
      </c>
      <c r="V763" t="n">
        <v>1</v>
      </c>
      <c r="W763" t="inlineStr">
        <is>
          <t>BALANCE TASAS</t>
        </is>
      </c>
      <c r="Y763" t="inlineStr">
        <is>
          <t>BALANCE TASAS</t>
        </is>
      </c>
      <c r="Z763" t="inlineStr">
        <is>
          <t>HTM</t>
        </is>
      </c>
      <c r="AA763" t="n">
        <v>1</v>
      </c>
    </row>
    <row r="764">
      <c r="A764" s="71" t="n">
        <v>45923</v>
      </c>
      <c r="B764" t="n">
        <v>1</v>
      </c>
      <c r="D764" t="inlineStr">
        <is>
          <t>PAS</t>
        </is>
      </c>
      <c r="E764" t="inlineStr">
        <is>
          <t>CLF</t>
        </is>
      </c>
      <c r="F764" t="inlineStr">
        <is>
          <t>CLF</t>
        </is>
      </c>
      <c r="H764" t="inlineStr">
        <is>
          <t>MT_CTA. AHORRO</t>
        </is>
      </c>
      <c r="I764" t="inlineStr">
        <is>
          <t>CTA. AHORRO G.INC_CORE_CORE</t>
        </is>
      </c>
      <c r="K764" t="n">
        <v>137</v>
      </c>
      <c r="M764" s="71" t="n">
        <v>50071</v>
      </c>
      <c r="N764" s="71" t="n">
        <v>50071</v>
      </c>
      <c r="O764" s="71" t="n">
        <v>50071</v>
      </c>
      <c r="P764" t="n">
        <v>13.74786585365854</v>
      </c>
      <c r="V764" t="n">
        <v>1</v>
      </c>
      <c r="W764" t="inlineStr">
        <is>
          <t>BALANCE TASAS</t>
        </is>
      </c>
      <c r="Y764" t="inlineStr">
        <is>
          <t>BALANCE TASAS</t>
        </is>
      </c>
      <c r="Z764" t="inlineStr">
        <is>
          <t>HTM</t>
        </is>
      </c>
      <c r="AA764" t="n">
        <v>1</v>
      </c>
    </row>
    <row r="765">
      <c r="A765" s="71" t="n">
        <v>45923</v>
      </c>
      <c r="B765" t="n">
        <v>1</v>
      </c>
      <c r="D765" t="inlineStr">
        <is>
          <t>PAS</t>
        </is>
      </c>
      <c r="E765" t="inlineStr">
        <is>
          <t>CLF</t>
        </is>
      </c>
      <c r="F765" t="inlineStr">
        <is>
          <t>CLF</t>
        </is>
      </c>
      <c r="H765" t="inlineStr">
        <is>
          <t>MT_CTA. AHORRO</t>
        </is>
      </c>
      <c r="I765" t="inlineStr">
        <is>
          <t>CTA. AHORRO G.INC_CORE_CORE</t>
        </is>
      </c>
      <c r="K765" t="n">
        <v>138</v>
      </c>
      <c r="M765" s="71" t="n">
        <v>50099</v>
      </c>
      <c r="N765" s="71" t="n">
        <v>50099</v>
      </c>
      <c r="O765" s="71" t="n">
        <v>50099</v>
      </c>
      <c r="P765" t="n">
        <v>13.74786585365854</v>
      </c>
      <c r="V765" t="n">
        <v>1</v>
      </c>
      <c r="W765" t="inlineStr">
        <is>
          <t>BALANCE TASAS</t>
        </is>
      </c>
      <c r="Y765" t="inlineStr">
        <is>
          <t>BALANCE TASAS</t>
        </is>
      </c>
      <c r="Z765" t="inlineStr">
        <is>
          <t>HTM</t>
        </is>
      </c>
      <c r="AA765" t="n">
        <v>1</v>
      </c>
    </row>
    <row r="766">
      <c r="A766" s="71" t="n">
        <v>45923</v>
      </c>
      <c r="B766" t="n">
        <v>1</v>
      </c>
      <c r="D766" t="inlineStr">
        <is>
          <t>PAS</t>
        </is>
      </c>
      <c r="E766" t="inlineStr">
        <is>
          <t>CLF</t>
        </is>
      </c>
      <c r="F766" t="inlineStr">
        <is>
          <t>CLF</t>
        </is>
      </c>
      <c r="H766" t="inlineStr">
        <is>
          <t>MT_CTA. AHORRO</t>
        </is>
      </c>
      <c r="I766" t="inlineStr">
        <is>
          <t>CTA. AHORRO G.INC_CORE_CORE</t>
        </is>
      </c>
      <c r="K766" t="n">
        <v>139</v>
      </c>
      <c r="M766" s="71" t="n">
        <v>50130</v>
      </c>
      <c r="N766" s="71" t="n">
        <v>50130</v>
      </c>
      <c r="O766" s="71" t="n">
        <v>50130</v>
      </c>
      <c r="P766" t="n">
        <v>13.74786585365854</v>
      </c>
      <c r="V766" t="n">
        <v>1</v>
      </c>
      <c r="W766" t="inlineStr">
        <is>
          <t>BALANCE TASAS</t>
        </is>
      </c>
      <c r="Y766" t="inlineStr">
        <is>
          <t>BALANCE TASAS</t>
        </is>
      </c>
      <c r="Z766" t="inlineStr">
        <is>
          <t>HTM</t>
        </is>
      </c>
      <c r="AA766" t="n">
        <v>1</v>
      </c>
    </row>
    <row r="767">
      <c r="A767" s="71" t="n">
        <v>45923</v>
      </c>
      <c r="B767" t="n">
        <v>1</v>
      </c>
      <c r="D767" t="inlineStr">
        <is>
          <t>PAS</t>
        </is>
      </c>
      <c r="E767" t="inlineStr">
        <is>
          <t>CLF</t>
        </is>
      </c>
      <c r="F767" t="inlineStr">
        <is>
          <t>CLF</t>
        </is>
      </c>
      <c r="H767" t="inlineStr">
        <is>
          <t>MT_CTA. AHORRO</t>
        </is>
      </c>
      <c r="I767" t="inlineStr">
        <is>
          <t>CTA. AHORRO G.INC_CORE_CORE</t>
        </is>
      </c>
      <c r="K767" t="n">
        <v>140</v>
      </c>
      <c r="M767" s="71" t="n">
        <v>50160</v>
      </c>
      <c r="N767" s="71" t="n">
        <v>50160</v>
      </c>
      <c r="O767" s="71" t="n">
        <v>50160</v>
      </c>
      <c r="P767" t="n">
        <v>13.74786585365854</v>
      </c>
      <c r="V767" t="n">
        <v>1</v>
      </c>
      <c r="W767" t="inlineStr">
        <is>
          <t>BALANCE TASAS</t>
        </is>
      </c>
      <c r="Y767" t="inlineStr">
        <is>
          <t>BALANCE TASAS</t>
        </is>
      </c>
      <c r="Z767" t="inlineStr">
        <is>
          <t>HTM</t>
        </is>
      </c>
      <c r="AA767" t="n">
        <v>1</v>
      </c>
    </row>
    <row r="768">
      <c r="A768" s="71" t="n">
        <v>45923</v>
      </c>
      <c r="B768" t="n">
        <v>1</v>
      </c>
      <c r="D768" t="inlineStr">
        <is>
          <t>PAS</t>
        </is>
      </c>
      <c r="E768" t="inlineStr">
        <is>
          <t>CLF</t>
        </is>
      </c>
      <c r="F768" t="inlineStr">
        <is>
          <t>CLF</t>
        </is>
      </c>
      <c r="H768" t="inlineStr">
        <is>
          <t>MT_CTA. AHORRO</t>
        </is>
      </c>
      <c r="I768" t="inlineStr">
        <is>
          <t>CTA. AHORRO G.INC_CORE_CORE</t>
        </is>
      </c>
      <c r="K768" t="n">
        <v>141</v>
      </c>
      <c r="M768" s="71" t="n">
        <v>50191</v>
      </c>
      <c r="N768" s="71" t="n">
        <v>50191</v>
      </c>
      <c r="O768" s="71" t="n">
        <v>50191</v>
      </c>
      <c r="P768" t="n">
        <v>13.74786585365854</v>
      </c>
      <c r="V768" t="n">
        <v>1</v>
      </c>
      <c r="W768" t="inlineStr">
        <is>
          <t>BALANCE TASAS</t>
        </is>
      </c>
      <c r="Y768" t="inlineStr">
        <is>
          <t>BALANCE TASAS</t>
        </is>
      </c>
      <c r="Z768" t="inlineStr">
        <is>
          <t>HTM</t>
        </is>
      </c>
      <c r="AA768" t="n">
        <v>1</v>
      </c>
    </row>
    <row r="769">
      <c r="A769" s="71" t="n">
        <v>45923</v>
      </c>
      <c r="B769" t="n">
        <v>1</v>
      </c>
      <c r="D769" t="inlineStr">
        <is>
          <t>PAS</t>
        </is>
      </c>
      <c r="E769" t="inlineStr">
        <is>
          <t>CLF</t>
        </is>
      </c>
      <c r="F769" t="inlineStr">
        <is>
          <t>CLF</t>
        </is>
      </c>
      <c r="H769" t="inlineStr">
        <is>
          <t>MT_CTA. AHORRO</t>
        </is>
      </c>
      <c r="I769" t="inlineStr">
        <is>
          <t>CTA. AHORRO G.INC_CORE_CORE</t>
        </is>
      </c>
      <c r="K769" t="n">
        <v>142</v>
      </c>
      <c r="M769" s="71" t="n">
        <v>50221</v>
      </c>
      <c r="N769" s="71" t="n">
        <v>50221</v>
      </c>
      <c r="O769" s="71" t="n">
        <v>50221</v>
      </c>
      <c r="P769" t="n">
        <v>13.74786585365854</v>
      </c>
      <c r="V769" t="n">
        <v>1</v>
      </c>
      <c r="W769" t="inlineStr">
        <is>
          <t>BALANCE TASAS</t>
        </is>
      </c>
      <c r="Y769" t="inlineStr">
        <is>
          <t>BALANCE TASAS</t>
        </is>
      </c>
      <c r="Z769" t="inlineStr">
        <is>
          <t>HTM</t>
        </is>
      </c>
      <c r="AA769" t="n">
        <v>1</v>
      </c>
    </row>
    <row r="770">
      <c r="A770" s="71" t="n">
        <v>45923</v>
      </c>
      <c r="B770" t="n">
        <v>1</v>
      </c>
      <c r="D770" t="inlineStr">
        <is>
          <t>PAS</t>
        </is>
      </c>
      <c r="E770" t="inlineStr">
        <is>
          <t>CLF</t>
        </is>
      </c>
      <c r="F770" t="inlineStr">
        <is>
          <t>CLF</t>
        </is>
      </c>
      <c r="H770" t="inlineStr">
        <is>
          <t>MT_CTA. AHORRO</t>
        </is>
      </c>
      <c r="I770" t="inlineStr">
        <is>
          <t>CTA. AHORRO G.INC_CORE_CORE</t>
        </is>
      </c>
      <c r="K770" t="n">
        <v>143</v>
      </c>
      <c r="M770" s="71" t="n">
        <v>50252</v>
      </c>
      <c r="N770" s="71" t="n">
        <v>50252</v>
      </c>
      <c r="O770" s="71" t="n">
        <v>50252</v>
      </c>
      <c r="P770" t="n">
        <v>13.74786585365854</v>
      </c>
      <c r="V770" t="n">
        <v>1</v>
      </c>
      <c r="W770" t="inlineStr">
        <is>
          <t>BALANCE TASAS</t>
        </is>
      </c>
      <c r="Y770" t="inlineStr">
        <is>
          <t>BALANCE TASAS</t>
        </is>
      </c>
      <c r="Z770" t="inlineStr">
        <is>
          <t>HTM</t>
        </is>
      </c>
      <c r="AA770" t="n">
        <v>1</v>
      </c>
    </row>
    <row r="771">
      <c r="A771" s="71" t="n">
        <v>45923</v>
      </c>
      <c r="B771" t="n">
        <v>1</v>
      </c>
      <c r="D771" t="inlineStr">
        <is>
          <t>PAS</t>
        </is>
      </c>
      <c r="E771" t="inlineStr">
        <is>
          <t>CLF</t>
        </is>
      </c>
      <c r="F771" t="inlineStr">
        <is>
          <t>CLF</t>
        </is>
      </c>
      <c r="H771" t="inlineStr">
        <is>
          <t>MT_CTA. AHORRO</t>
        </is>
      </c>
      <c r="I771" t="inlineStr">
        <is>
          <t>CTA. AHORRO G.INC_CORE_CORE</t>
        </is>
      </c>
      <c r="K771" t="n">
        <v>144</v>
      </c>
      <c r="M771" s="71" t="n">
        <v>50283</v>
      </c>
      <c r="N771" s="71" t="n">
        <v>50283</v>
      </c>
      <c r="O771" s="71" t="n">
        <v>50283</v>
      </c>
      <c r="P771" t="n">
        <v>13.74786585365854</v>
      </c>
      <c r="V771" t="n">
        <v>1</v>
      </c>
      <c r="W771" t="inlineStr">
        <is>
          <t>BALANCE TASAS</t>
        </is>
      </c>
      <c r="Y771" t="inlineStr">
        <is>
          <t>BALANCE TASAS</t>
        </is>
      </c>
      <c r="Z771" t="inlineStr">
        <is>
          <t>HTM</t>
        </is>
      </c>
      <c r="AA771" t="n">
        <v>1</v>
      </c>
    </row>
    <row r="772">
      <c r="A772" s="71" t="n">
        <v>45923</v>
      </c>
      <c r="B772" t="n">
        <v>1</v>
      </c>
      <c r="D772" t="inlineStr">
        <is>
          <t>PAS</t>
        </is>
      </c>
      <c r="E772" t="inlineStr">
        <is>
          <t>CLF</t>
        </is>
      </c>
      <c r="F772" t="inlineStr">
        <is>
          <t>CLF</t>
        </is>
      </c>
      <c r="H772" t="inlineStr">
        <is>
          <t>MT_CTA. AHORRO</t>
        </is>
      </c>
      <c r="I772" t="inlineStr">
        <is>
          <t>CTA. AHORRO G.INC_CORE_CORE</t>
        </is>
      </c>
      <c r="K772" t="n">
        <v>145</v>
      </c>
      <c r="M772" s="71" t="n">
        <v>50313</v>
      </c>
      <c r="N772" s="71" t="n">
        <v>50313</v>
      </c>
      <c r="O772" s="71" t="n">
        <v>50313</v>
      </c>
      <c r="P772" t="n">
        <v>13.74786585365854</v>
      </c>
      <c r="V772" t="n">
        <v>1</v>
      </c>
      <c r="W772" t="inlineStr">
        <is>
          <t>BALANCE TASAS</t>
        </is>
      </c>
      <c r="Y772" t="inlineStr">
        <is>
          <t>BALANCE TASAS</t>
        </is>
      </c>
      <c r="Z772" t="inlineStr">
        <is>
          <t>HTM</t>
        </is>
      </c>
      <c r="AA772" t="n">
        <v>1</v>
      </c>
    </row>
    <row r="773">
      <c r="A773" s="71" t="n">
        <v>45923</v>
      </c>
      <c r="B773" t="n">
        <v>1</v>
      </c>
      <c r="D773" t="inlineStr">
        <is>
          <t>PAS</t>
        </is>
      </c>
      <c r="E773" t="inlineStr">
        <is>
          <t>CLF</t>
        </is>
      </c>
      <c r="F773" t="inlineStr">
        <is>
          <t>CLF</t>
        </is>
      </c>
      <c r="H773" t="inlineStr">
        <is>
          <t>MT_CTA. AHORRO</t>
        </is>
      </c>
      <c r="I773" t="inlineStr">
        <is>
          <t>CTA. AHORRO G.INC_CORE_CORE</t>
        </is>
      </c>
      <c r="K773" t="n">
        <v>146</v>
      </c>
      <c r="M773" s="71" t="n">
        <v>50344</v>
      </c>
      <c r="N773" s="71" t="n">
        <v>50344</v>
      </c>
      <c r="O773" s="71" t="n">
        <v>50344</v>
      </c>
      <c r="P773" t="n">
        <v>13.74786585365854</v>
      </c>
      <c r="V773" t="n">
        <v>1</v>
      </c>
      <c r="W773" t="inlineStr">
        <is>
          <t>BALANCE TASAS</t>
        </is>
      </c>
      <c r="Y773" t="inlineStr">
        <is>
          <t>BALANCE TASAS</t>
        </is>
      </c>
      <c r="Z773" t="inlineStr">
        <is>
          <t>HTM</t>
        </is>
      </c>
      <c r="AA773" t="n">
        <v>1</v>
      </c>
    </row>
    <row r="774">
      <c r="A774" s="71" t="n">
        <v>45923</v>
      </c>
      <c r="B774" t="n">
        <v>1</v>
      </c>
      <c r="D774" t="inlineStr">
        <is>
          <t>PAS</t>
        </is>
      </c>
      <c r="E774" t="inlineStr">
        <is>
          <t>CLF</t>
        </is>
      </c>
      <c r="F774" t="inlineStr">
        <is>
          <t>CLF</t>
        </is>
      </c>
      <c r="H774" t="inlineStr">
        <is>
          <t>MT_CTA. AHORRO</t>
        </is>
      </c>
      <c r="I774" t="inlineStr">
        <is>
          <t>CTA. AHORRO G.INC_CORE_CORE</t>
        </is>
      </c>
      <c r="K774" t="n">
        <v>147</v>
      </c>
      <c r="M774" s="71" t="n">
        <v>50374</v>
      </c>
      <c r="N774" s="71" t="n">
        <v>50374</v>
      </c>
      <c r="O774" s="71" t="n">
        <v>50374</v>
      </c>
      <c r="P774" t="n">
        <v>13.74786585365854</v>
      </c>
      <c r="V774" t="n">
        <v>1</v>
      </c>
      <c r="W774" t="inlineStr">
        <is>
          <t>BALANCE TASAS</t>
        </is>
      </c>
      <c r="Y774" t="inlineStr">
        <is>
          <t>BALANCE TASAS</t>
        </is>
      </c>
      <c r="Z774" t="inlineStr">
        <is>
          <t>HTM</t>
        </is>
      </c>
      <c r="AA774" t="n">
        <v>1</v>
      </c>
    </row>
    <row r="775">
      <c r="A775" s="71" t="n">
        <v>45923</v>
      </c>
      <c r="B775" t="n">
        <v>1</v>
      </c>
      <c r="D775" t="inlineStr">
        <is>
          <t>PAS</t>
        </is>
      </c>
      <c r="E775" t="inlineStr">
        <is>
          <t>CLF</t>
        </is>
      </c>
      <c r="F775" t="inlineStr">
        <is>
          <t>CLF</t>
        </is>
      </c>
      <c r="H775" t="inlineStr">
        <is>
          <t>MT_CTA. AHORRO</t>
        </is>
      </c>
      <c r="I775" t="inlineStr">
        <is>
          <t>CTA. AHORRO G.INC_CORE_CORE</t>
        </is>
      </c>
      <c r="K775" t="n">
        <v>148</v>
      </c>
      <c r="M775" s="71" t="n">
        <v>50405</v>
      </c>
      <c r="N775" s="71" t="n">
        <v>50405</v>
      </c>
      <c r="O775" s="71" t="n">
        <v>50405</v>
      </c>
      <c r="P775" t="n">
        <v>13.74786585365854</v>
      </c>
      <c r="V775" t="n">
        <v>1</v>
      </c>
      <c r="W775" t="inlineStr">
        <is>
          <t>BALANCE TASAS</t>
        </is>
      </c>
      <c r="Y775" t="inlineStr">
        <is>
          <t>BALANCE TASAS</t>
        </is>
      </c>
      <c r="Z775" t="inlineStr">
        <is>
          <t>HTM</t>
        </is>
      </c>
      <c r="AA775" t="n">
        <v>1</v>
      </c>
    </row>
    <row r="776">
      <c r="A776" s="71" t="n">
        <v>45923</v>
      </c>
      <c r="B776" t="n">
        <v>1</v>
      </c>
      <c r="D776" t="inlineStr">
        <is>
          <t>PAS</t>
        </is>
      </c>
      <c r="E776" t="inlineStr">
        <is>
          <t>CLF</t>
        </is>
      </c>
      <c r="F776" t="inlineStr">
        <is>
          <t>CLF</t>
        </is>
      </c>
      <c r="H776" t="inlineStr">
        <is>
          <t>MT_CTA. AHORRO</t>
        </is>
      </c>
      <c r="I776" t="inlineStr">
        <is>
          <t>CTA. AHORRO G.INC_CORE_CORE</t>
        </is>
      </c>
      <c r="K776" t="n">
        <v>149</v>
      </c>
      <c r="M776" s="71" t="n">
        <v>50436</v>
      </c>
      <c r="N776" s="71" t="n">
        <v>50436</v>
      </c>
      <c r="O776" s="71" t="n">
        <v>50436</v>
      </c>
      <c r="P776" t="n">
        <v>13.74786585365854</v>
      </c>
      <c r="V776" t="n">
        <v>1</v>
      </c>
      <c r="W776" t="inlineStr">
        <is>
          <t>BALANCE TASAS</t>
        </is>
      </c>
      <c r="Y776" t="inlineStr">
        <is>
          <t>BALANCE TASAS</t>
        </is>
      </c>
      <c r="Z776" t="inlineStr">
        <is>
          <t>HTM</t>
        </is>
      </c>
      <c r="AA776" t="n">
        <v>1</v>
      </c>
    </row>
    <row r="777">
      <c r="A777" s="71" t="n">
        <v>45923</v>
      </c>
      <c r="B777" t="n">
        <v>1</v>
      </c>
      <c r="D777" t="inlineStr">
        <is>
          <t>PAS</t>
        </is>
      </c>
      <c r="E777" t="inlineStr">
        <is>
          <t>CLF</t>
        </is>
      </c>
      <c r="F777" t="inlineStr">
        <is>
          <t>CLF</t>
        </is>
      </c>
      <c r="H777" t="inlineStr">
        <is>
          <t>MT_CTA. AHORRO</t>
        </is>
      </c>
      <c r="I777" t="inlineStr">
        <is>
          <t>CTA. AHORRO G.INC_CORE_CORE</t>
        </is>
      </c>
      <c r="K777" t="n">
        <v>150</v>
      </c>
      <c r="M777" s="71" t="n">
        <v>50464</v>
      </c>
      <c r="N777" s="71" t="n">
        <v>50464</v>
      </c>
      <c r="O777" s="71" t="n">
        <v>50464</v>
      </c>
      <c r="P777" t="n">
        <v>13.74786585365854</v>
      </c>
      <c r="V777" t="n">
        <v>1</v>
      </c>
      <c r="W777" t="inlineStr">
        <is>
          <t>BALANCE TASAS</t>
        </is>
      </c>
      <c r="Y777" t="inlineStr">
        <is>
          <t>BALANCE TASAS</t>
        </is>
      </c>
      <c r="Z777" t="inlineStr">
        <is>
          <t>HTM</t>
        </is>
      </c>
      <c r="AA777" t="n">
        <v>1</v>
      </c>
    </row>
    <row r="778">
      <c r="A778" s="71" t="n">
        <v>45923</v>
      </c>
      <c r="B778" t="n">
        <v>1</v>
      </c>
      <c r="D778" t="inlineStr">
        <is>
          <t>PAS</t>
        </is>
      </c>
      <c r="E778" t="inlineStr">
        <is>
          <t>CLF</t>
        </is>
      </c>
      <c r="F778" t="inlineStr">
        <is>
          <t>CLF</t>
        </is>
      </c>
      <c r="H778" t="inlineStr">
        <is>
          <t>MT_CTA. AHORRO</t>
        </is>
      </c>
      <c r="I778" t="inlineStr">
        <is>
          <t>CTA. AHORRO G.INC_CORE_CORE</t>
        </is>
      </c>
      <c r="K778" t="n">
        <v>151</v>
      </c>
      <c r="M778" s="71" t="n">
        <v>50495</v>
      </c>
      <c r="N778" s="71" t="n">
        <v>50495</v>
      </c>
      <c r="O778" s="71" t="n">
        <v>50495</v>
      </c>
      <c r="P778" t="n">
        <v>13.74786585365854</v>
      </c>
      <c r="V778" t="n">
        <v>1</v>
      </c>
      <c r="W778" t="inlineStr">
        <is>
          <t>BALANCE TASAS</t>
        </is>
      </c>
      <c r="Y778" t="inlineStr">
        <is>
          <t>BALANCE TASAS</t>
        </is>
      </c>
      <c r="Z778" t="inlineStr">
        <is>
          <t>HTM</t>
        </is>
      </c>
      <c r="AA778" t="n">
        <v>1</v>
      </c>
    </row>
    <row r="779">
      <c r="A779" s="71" t="n">
        <v>45923</v>
      </c>
      <c r="B779" t="n">
        <v>1</v>
      </c>
      <c r="D779" t="inlineStr">
        <is>
          <t>PAS</t>
        </is>
      </c>
      <c r="E779" t="inlineStr">
        <is>
          <t>CLF</t>
        </is>
      </c>
      <c r="F779" t="inlineStr">
        <is>
          <t>CLF</t>
        </is>
      </c>
      <c r="H779" t="inlineStr">
        <is>
          <t>MT_CTA. AHORRO</t>
        </is>
      </c>
      <c r="I779" t="inlineStr">
        <is>
          <t>CTA. AHORRO G.INC_CORE_CORE</t>
        </is>
      </c>
      <c r="K779" t="n">
        <v>152</v>
      </c>
      <c r="M779" s="71" t="n">
        <v>50525</v>
      </c>
      <c r="N779" s="71" t="n">
        <v>50525</v>
      </c>
      <c r="O779" s="71" t="n">
        <v>50525</v>
      </c>
      <c r="P779" t="n">
        <v>13.74786585365854</v>
      </c>
      <c r="V779" t="n">
        <v>1</v>
      </c>
      <c r="W779" t="inlineStr">
        <is>
          <t>BALANCE TASAS</t>
        </is>
      </c>
      <c r="Y779" t="inlineStr">
        <is>
          <t>BALANCE TASAS</t>
        </is>
      </c>
      <c r="Z779" t="inlineStr">
        <is>
          <t>HTM</t>
        </is>
      </c>
      <c r="AA779" t="n">
        <v>1</v>
      </c>
    </row>
    <row r="780">
      <c r="A780" s="71" t="n">
        <v>45923</v>
      </c>
      <c r="B780" t="n">
        <v>1</v>
      </c>
      <c r="D780" t="inlineStr">
        <is>
          <t>PAS</t>
        </is>
      </c>
      <c r="E780" t="inlineStr">
        <is>
          <t>CLF</t>
        </is>
      </c>
      <c r="F780" t="inlineStr">
        <is>
          <t>CLF</t>
        </is>
      </c>
      <c r="H780" t="inlineStr">
        <is>
          <t>MT_CTA. AHORRO</t>
        </is>
      </c>
      <c r="I780" t="inlineStr">
        <is>
          <t>CTA. AHORRO G.INC_CORE_CORE</t>
        </is>
      </c>
      <c r="K780" t="n">
        <v>153</v>
      </c>
      <c r="M780" s="71" t="n">
        <v>50556</v>
      </c>
      <c r="N780" s="71" t="n">
        <v>50556</v>
      </c>
      <c r="O780" s="71" t="n">
        <v>50556</v>
      </c>
      <c r="P780" t="n">
        <v>13.74786585365854</v>
      </c>
      <c r="V780" t="n">
        <v>1</v>
      </c>
      <c r="W780" t="inlineStr">
        <is>
          <t>BALANCE TASAS</t>
        </is>
      </c>
      <c r="Y780" t="inlineStr">
        <is>
          <t>BALANCE TASAS</t>
        </is>
      </c>
      <c r="Z780" t="inlineStr">
        <is>
          <t>HTM</t>
        </is>
      </c>
      <c r="AA780" t="n">
        <v>1</v>
      </c>
    </row>
    <row r="781">
      <c r="A781" s="71" t="n">
        <v>45923</v>
      </c>
      <c r="B781" t="n">
        <v>1</v>
      </c>
      <c r="D781" t="inlineStr">
        <is>
          <t>PAS</t>
        </is>
      </c>
      <c r="E781" t="inlineStr">
        <is>
          <t>CLF</t>
        </is>
      </c>
      <c r="F781" t="inlineStr">
        <is>
          <t>CLF</t>
        </is>
      </c>
      <c r="H781" t="inlineStr">
        <is>
          <t>MT_CTA. AHORRO</t>
        </is>
      </c>
      <c r="I781" t="inlineStr">
        <is>
          <t>CTA. AHORRO G.INC_CORE_CORE</t>
        </is>
      </c>
      <c r="K781" t="n">
        <v>154</v>
      </c>
      <c r="M781" s="71" t="n">
        <v>50586</v>
      </c>
      <c r="N781" s="71" t="n">
        <v>50586</v>
      </c>
      <c r="O781" s="71" t="n">
        <v>50586</v>
      </c>
      <c r="P781" t="n">
        <v>13.74786585365854</v>
      </c>
      <c r="V781" t="n">
        <v>1</v>
      </c>
      <c r="W781" t="inlineStr">
        <is>
          <t>BALANCE TASAS</t>
        </is>
      </c>
      <c r="Y781" t="inlineStr">
        <is>
          <t>BALANCE TASAS</t>
        </is>
      </c>
      <c r="Z781" t="inlineStr">
        <is>
          <t>HTM</t>
        </is>
      </c>
      <c r="AA781" t="n">
        <v>1</v>
      </c>
    </row>
    <row r="782">
      <c r="A782" s="71" t="n">
        <v>45923</v>
      </c>
      <c r="B782" t="n">
        <v>1</v>
      </c>
      <c r="D782" t="inlineStr">
        <is>
          <t>PAS</t>
        </is>
      </c>
      <c r="E782" t="inlineStr">
        <is>
          <t>CLF</t>
        </is>
      </c>
      <c r="F782" t="inlineStr">
        <is>
          <t>CLF</t>
        </is>
      </c>
      <c r="H782" t="inlineStr">
        <is>
          <t>MT_CTA. AHORRO</t>
        </is>
      </c>
      <c r="I782" t="inlineStr">
        <is>
          <t>CTA. AHORRO G.INC_CORE_CORE</t>
        </is>
      </c>
      <c r="K782" t="n">
        <v>155</v>
      </c>
      <c r="M782" s="71" t="n">
        <v>50617</v>
      </c>
      <c r="N782" s="71" t="n">
        <v>50617</v>
      </c>
      <c r="O782" s="71" t="n">
        <v>50617</v>
      </c>
      <c r="P782" t="n">
        <v>13.74786585365854</v>
      </c>
      <c r="V782" t="n">
        <v>1</v>
      </c>
      <c r="W782" t="inlineStr">
        <is>
          <t>BALANCE TASAS</t>
        </is>
      </c>
      <c r="Y782" t="inlineStr">
        <is>
          <t>BALANCE TASAS</t>
        </is>
      </c>
      <c r="Z782" t="inlineStr">
        <is>
          <t>HTM</t>
        </is>
      </c>
      <c r="AA782" t="n">
        <v>1</v>
      </c>
    </row>
    <row r="783">
      <c r="A783" s="71" t="n">
        <v>45923</v>
      </c>
      <c r="B783" t="n">
        <v>1</v>
      </c>
      <c r="D783" t="inlineStr">
        <is>
          <t>PAS</t>
        </is>
      </c>
      <c r="E783" t="inlineStr">
        <is>
          <t>CLF</t>
        </is>
      </c>
      <c r="F783" t="inlineStr">
        <is>
          <t>CLF</t>
        </is>
      </c>
      <c r="H783" t="inlineStr">
        <is>
          <t>MT_CTA. AHORRO</t>
        </is>
      </c>
      <c r="I783" t="inlineStr">
        <is>
          <t>CTA. AHORRO G.INC_CORE_CORE</t>
        </is>
      </c>
      <c r="K783" t="n">
        <v>156</v>
      </c>
      <c r="M783" s="71" t="n">
        <v>50648</v>
      </c>
      <c r="N783" s="71" t="n">
        <v>50648</v>
      </c>
      <c r="O783" s="71" t="n">
        <v>50648</v>
      </c>
      <c r="P783" t="n">
        <v>13.74786585365854</v>
      </c>
      <c r="V783" t="n">
        <v>1</v>
      </c>
      <c r="W783" t="inlineStr">
        <is>
          <t>BALANCE TASAS</t>
        </is>
      </c>
      <c r="Y783" t="inlineStr">
        <is>
          <t>BALANCE TASAS</t>
        </is>
      </c>
      <c r="Z783" t="inlineStr">
        <is>
          <t>HTM</t>
        </is>
      </c>
      <c r="AA783" t="n">
        <v>1</v>
      </c>
    </row>
    <row r="784">
      <c r="A784" s="71" t="n">
        <v>45923</v>
      </c>
      <c r="B784" t="n">
        <v>1</v>
      </c>
      <c r="D784" t="inlineStr">
        <is>
          <t>PAS</t>
        </is>
      </c>
      <c r="E784" t="inlineStr">
        <is>
          <t>CLF</t>
        </is>
      </c>
      <c r="F784" t="inlineStr">
        <is>
          <t>CLF</t>
        </is>
      </c>
      <c r="H784" t="inlineStr">
        <is>
          <t>MT_CTA. AHORRO</t>
        </is>
      </c>
      <c r="I784" t="inlineStr">
        <is>
          <t>CTA. AHORRO G.INC_CORE_CORE</t>
        </is>
      </c>
      <c r="K784" t="n">
        <v>157</v>
      </c>
      <c r="M784" s="71" t="n">
        <v>50678</v>
      </c>
      <c r="N784" s="71" t="n">
        <v>50678</v>
      </c>
      <c r="O784" s="71" t="n">
        <v>50678</v>
      </c>
      <c r="P784" t="n">
        <v>13.74786585365854</v>
      </c>
      <c r="V784" t="n">
        <v>1</v>
      </c>
      <c r="W784" t="inlineStr">
        <is>
          <t>BALANCE TASAS</t>
        </is>
      </c>
      <c r="Y784" t="inlineStr">
        <is>
          <t>BALANCE TASAS</t>
        </is>
      </c>
      <c r="Z784" t="inlineStr">
        <is>
          <t>HTM</t>
        </is>
      </c>
      <c r="AA784" t="n">
        <v>1</v>
      </c>
    </row>
    <row r="785">
      <c r="A785" s="71" t="n">
        <v>45923</v>
      </c>
      <c r="B785" t="n">
        <v>1</v>
      </c>
      <c r="D785" t="inlineStr">
        <is>
          <t>PAS</t>
        </is>
      </c>
      <c r="E785" t="inlineStr">
        <is>
          <t>CLF</t>
        </is>
      </c>
      <c r="F785" t="inlineStr">
        <is>
          <t>CLF</t>
        </is>
      </c>
      <c r="H785" t="inlineStr">
        <is>
          <t>MT_CTA. AHORRO</t>
        </is>
      </c>
      <c r="I785" t="inlineStr">
        <is>
          <t>CTA. AHORRO G.INC_CORE_CORE</t>
        </is>
      </c>
      <c r="K785" t="n">
        <v>158</v>
      </c>
      <c r="M785" s="71" t="n">
        <v>50709</v>
      </c>
      <c r="N785" s="71" t="n">
        <v>50709</v>
      </c>
      <c r="O785" s="71" t="n">
        <v>50709</v>
      </c>
      <c r="P785" t="n">
        <v>13.74786585365854</v>
      </c>
      <c r="V785" t="n">
        <v>1</v>
      </c>
      <c r="W785" t="inlineStr">
        <is>
          <t>BALANCE TASAS</t>
        </is>
      </c>
      <c r="Y785" t="inlineStr">
        <is>
          <t>BALANCE TASAS</t>
        </is>
      </c>
      <c r="Z785" t="inlineStr">
        <is>
          <t>HTM</t>
        </is>
      </c>
      <c r="AA785" t="n">
        <v>1</v>
      </c>
    </row>
    <row r="786">
      <c r="A786" s="71" t="n">
        <v>45923</v>
      </c>
      <c r="B786" t="n">
        <v>1</v>
      </c>
      <c r="D786" t="inlineStr">
        <is>
          <t>PAS</t>
        </is>
      </c>
      <c r="E786" t="inlineStr">
        <is>
          <t>CLF</t>
        </is>
      </c>
      <c r="F786" t="inlineStr">
        <is>
          <t>CLF</t>
        </is>
      </c>
      <c r="H786" t="inlineStr">
        <is>
          <t>MT_CTA. AHORRO</t>
        </is>
      </c>
      <c r="I786" t="inlineStr">
        <is>
          <t>CTA. AHORRO G.INC_CORE_CORE</t>
        </is>
      </c>
      <c r="K786" t="n">
        <v>159</v>
      </c>
      <c r="M786" s="71" t="n">
        <v>50739</v>
      </c>
      <c r="N786" s="71" t="n">
        <v>50739</v>
      </c>
      <c r="O786" s="71" t="n">
        <v>50739</v>
      </c>
      <c r="P786" t="n">
        <v>13.74786585365854</v>
      </c>
      <c r="V786" t="n">
        <v>1</v>
      </c>
      <c r="W786" t="inlineStr">
        <is>
          <t>BALANCE TASAS</t>
        </is>
      </c>
      <c r="Y786" t="inlineStr">
        <is>
          <t>BALANCE TASAS</t>
        </is>
      </c>
      <c r="Z786" t="inlineStr">
        <is>
          <t>HTM</t>
        </is>
      </c>
      <c r="AA786" t="n">
        <v>1</v>
      </c>
    </row>
    <row r="787">
      <c r="A787" s="71" t="n">
        <v>45923</v>
      </c>
      <c r="B787" t="n">
        <v>1</v>
      </c>
      <c r="D787" t="inlineStr">
        <is>
          <t>PAS</t>
        </is>
      </c>
      <c r="E787" t="inlineStr">
        <is>
          <t>CLF</t>
        </is>
      </c>
      <c r="F787" t="inlineStr">
        <is>
          <t>CLF</t>
        </is>
      </c>
      <c r="H787" t="inlineStr">
        <is>
          <t>MT_CTA. AHORRO</t>
        </is>
      </c>
      <c r="I787" t="inlineStr">
        <is>
          <t>CTA. AHORRO G.INC_CORE_CORE</t>
        </is>
      </c>
      <c r="K787" t="n">
        <v>160</v>
      </c>
      <c r="M787" s="71" t="n">
        <v>50770</v>
      </c>
      <c r="N787" s="71" t="n">
        <v>50770</v>
      </c>
      <c r="O787" s="71" t="n">
        <v>50770</v>
      </c>
      <c r="P787" t="n">
        <v>13.74786585365854</v>
      </c>
      <c r="V787" t="n">
        <v>1</v>
      </c>
      <c r="W787" t="inlineStr">
        <is>
          <t>BALANCE TASAS</t>
        </is>
      </c>
      <c r="Y787" t="inlineStr">
        <is>
          <t>BALANCE TASAS</t>
        </is>
      </c>
      <c r="Z787" t="inlineStr">
        <is>
          <t>HTM</t>
        </is>
      </c>
      <c r="AA787" t="n">
        <v>1</v>
      </c>
    </row>
    <row r="788">
      <c r="A788" s="71" t="n">
        <v>45923</v>
      </c>
      <c r="B788" t="n">
        <v>1</v>
      </c>
      <c r="D788" t="inlineStr">
        <is>
          <t>PAS</t>
        </is>
      </c>
      <c r="E788" t="inlineStr">
        <is>
          <t>CLF</t>
        </is>
      </c>
      <c r="F788" t="inlineStr">
        <is>
          <t>CLF</t>
        </is>
      </c>
      <c r="H788" t="inlineStr">
        <is>
          <t>MT_CTA. AHORRO</t>
        </is>
      </c>
      <c r="I788" t="inlineStr">
        <is>
          <t>CTA. AHORRO G.INC_CORE_CORE</t>
        </is>
      </c>
      <c r="K788" t="n">
        <v>161</v>
      </c>
      <c r="M788" s="71" t="n">
        <v>50801</v>
      </c>
      <c r="N788" s="71" t="n">
        <v>50801</v>
      </c>
      <c r="O788" s="71" t="n">
        <v>50801</v>
      </c>
      <c r="P788" t="n">
        <v>13.74786585365854</v>
      </c>
      <c r="V788" t="n">
        <v>1</v>
      </c>
      <c r="W788" t="inlineStr">
        <is>
          <t>BALANCE TASAS</t>
        </is>
      </c>
      <c r="Y788" t="inlineStr">
        <is>
          <t>BALANCE TASAS</t>
        </is>
      </c>
      <c r="Z788" t="inlineStr">
        <is>
          <t>HTM</t>
        </is>
      </c>
      <c r="AA788" t="n">
        <v>1</v>
      </c>
    </row>
    <row r="789">
      <c r="A789" s="71" t="n">
        <v>45923</v>
      </c>
      <c r="B789" t="n">
        <v>1</v>
      </c>
      <c r="D789" t="inlineStr">
        <is>
          <t>PAS</t>
        </is>
      </c>
      <c r="E789" t="inlineStr">
        <is>
          <t>CLF</t>
        </is>
      </c>
      <c r="F789" t="inlineStr">
        <is>
          <t>CLF</t>
        </is>
      </c>
      <c r="H789" t="inlineStr">
        <is>
          <t>MT_CTA. AHORRO</t>
        </is>
      </c>
      <c r="I789" t="inlineStr">
        <is>
          <t>CTA. AHORRO G.INC_CORE_CORE</t>
        </is>
      </c>
      <c r="K789" t="n">
        <v>162</v>
      </c>
      <c r="M789" s="71" t="n">
        <v>50829</v>
      </c>
      <c r="N789" s="71" t="n">
        <v>50829</v>
      </c>
      <c r="O789" s="71" t="n">
        <v>50829</v>
      </c>
      <c r="P789" t="n">
        <v>13.74786585365854</v>
      </c>
      <c r="V789" t="n">
        <v>1</v>
      </c>
      <c r="W789" t="inlineStr">
        <is>
          <t>BALANCE TASAS</t>
        </is>
      </c>
      <c r="Y789" t="inlineStr">
        <is>
          <t>BALANCE TASAS</t>
        </is>
      </c>
      <c r="Z789" t="inlineStr">
        <is>
          <t>HTM</t>
        </is>
      </c>
      <c r="AA789" t="n">
        <v>1</v>
      </c>
    </row>
    <row r="790">
      <c r="A790" s="71" t="n">
        <v>45923</v>
      </c>
      <c r="B790" t="n">
        <v>1</v>
      </c>
      <c r="D790" t="inlineStr">
        <is>
          <t>PAS</t>
        </is>
      </c>
      <c r="E790" t="inlineStr">
        <is>
          <t>CLF</t>
        </is>
      </c>
      <c r="F790" t="inlineStr">
        <is>
          <t>CLF</t>
        </is>
      </c>
      <c r="H790" t="inlineStr">
        <is>
          <t>MT_CTA. AHORRO</t>
        </is>
      </c>
      <c r="I790" t="inlineStr">
        <is>
          <t>CTA. AHORRO G.INC_CORE_CORE</t>
        </is>
      </c>
      <c r="K790" t="n">
        <v>163</v>
      </c>
      <c r="M790" s="71" t="n">
        <v>50860</v>
      </c>
      <c r="N790" s="71" t="n">
        <v>50860</v>
      </c>
      <c r="O790" s="71" t="n">
        <v>50860</v>
      </c>
      <c r="P790" t="n">
        <v>13.74786585365854</v>
      </c>
      <c r="V790" t="n">
        <v>1</v>
      </c>
      <c r="W790" t="inlineStr">
        <is>
          <t>BALANCE TASAS</t>
        </is>
      </c>
      <c r="Y790" t="inlineStr">
        <is>
          <t>BALANCE TASAS</t>
        </is>
      </c>
      <c r="Z790" t="inlineStr">
        <is>
          <t>HTM</t>
        </is>
      </c>
      <c r="AA790" t="n">
        <v>1</v>
      </c>
    </row>
    <row r="791">
      <c r="A791" s="71" t="n">
        <v>45923</v>
      </c>
      <c r="B791" t="n">
        <v>1</v>
      </c>
      <c r="D791" t="inlineStr">
        <is>
          <t>PAS</t>
        </is>
      </c>
      <c r="E791" t="inlineStr">
        <is>
          <t>CLF</t>
        </is>
      </c>
      <c r="F791" t="inlineStr">
        <is>
          <t>CLF</t>
        </is>
      </c>
      <c r="H791" t="inlineStr">
        <is>
          <t>MT_CTA. AHORRO</t>
        </is>
      </c>
      <c r="I791" t="inlineStr">
        <is>
          <t>CTA. AHORRO G.INC_CORE_CORE</t>
        </is>
      </c>
      <c r="K791" t="n">
        <v>164</v>
      </c>
      <c r="M791" s="71" t="n">
        <v>50890</v>
      </c>
      <c r="N791" s="71" t="n">
        <v>50890</v>
      </c>
      <c r="O791" s="71" t="n">
        <v>50890</v>
      </c>
      <c r="P791" t="n">
        <v>13.74786585365854</v>
      </c>
      <c r="V791" t="n">
        <v>1</v>
      </c>
      <c r="W791" t="inlineStr">
        <is>
          <t>BALANCE TASAS</t>
        </is>
      </c>
      <c r="Y791" t="inlineStr">
        <is>
          <t>BALANCE TASAS</t>
        </is>
      </c>
      <c r="Z791" t="inlineStr">
        <is>
          <t>HTM</t>
        </is>
      </c>
      <c r="AA791" t="n">
        <v>1</v>
      </c>
    </row>
    <row r="792">
      <c r="A792" s="71" t="n">
        <v>45923</v>
      </c>
      <c r="B792" t="n">
        <v>1</v>
      </c>
      <c r="D792" t="inlineStr">
        <is>
          <t>PAS</t>
        </is>
      </c>
      <c r="E792" t="inlineStr">
        <is>
          <t>CLF</t>
        </is>
      </c>
      <c r="F792" t="inlineStr">
        <is>
          <t>CLF</t>
        </is>
      </c>
      <c r="H792" t="inlineStr">
        <is>
          <t>MT_CTA. AHORRO</t>
        </is>
      </c>
      <c r="I792" t="inlineStr">
        <is>
          <t>CTA. AHORRO G.INC_CORE_CORE</t>
        </is>
      </c>
      <c r="K792" t="n">
        <v>165</v>
      </c>
      <c r="M792" s="71" t="n">
        <v>50921</v>
      </c>
      <c r="N792" s="71" t="n">
        <v>50921</v>
      </c>
      <c r="O792" s="71" t="n">
        <v>50921</v>
      </c>
      <c r="P792" t="n">
        <v>13.74786585365854</v>
      </c>
      <c r="V792" t="n">
        <v>1</v>
      </c>
      <c r="W792" t="inlineStr">
        <is>
          <t>BALANCE TASAS</t>
        </is>
      </c>
      <c r="Y792" t="inlineStr">
        <is>
          <t>BALANCE TASAS</t>
        </is>
      </c>
      <c r="Z792" t="inlineStr">
        <is>
          <t>HTM</t>
        </is>
      </c>
      <c r="AA792" t="n">
        <v>1</v>
      </c>
    </row>
    <row r="793">
      <c r="A793" s="71" t="n">
        <v>45923</v>
      </c>
      <c r="B793" t="n">
        <v>1</v>
      </c>
      <c r="D793" t="inlineStr">
        <is>
          <t>PAS</t>
        </is>
      </c>
      <c r="E793" t="inlineStr">
        <is>
          <t>CLF</t>
        </is>
      </c>
      <c r="F793" t="inlineStr">
        <is>
          <t>CLF</t>
        </is>
      </c>
      <c r="H793" t="inlineStr">
        <is>
          <t>MT_CTA. AHORRO</t>
        </is>
      </c>
      <c r="I793" t="inlineStr">
        <is>
          <t>CTA. AHORRO G.INC_CORE_CORE</t>
        </is>
      </c>
      <c r="K793" t="n">
        <v>166</v>
      </c>
      <c r="M793" s="71" t="n">
        <v>50951</v>
      </c>
      <c r="N793" s="71" t="n">
        <v>50951</v>
      </c>
      <c r="O793" s="71" t="n">
        <v>50951</v>
      </c>
      <c r="P793" t="n">
        <v>13.74786585365854</v>
      </c>
      <c r="V793" t="n">
        <v>1</v>
      </c>
      <c r="W793" t="inlineStr">
        <is>
          <t>BALANCE TASAS</t>
        </is>
      </c>
      <c r="Y793" t="inlineStr">
        <is>
          <t>BALANCE TASAS</t>
        </is>
      </c>
      <c r="Z793" t="inlineStr">
        <is>
          <t>HTM</t>
        </is>
      </c>
      <c r="AA793" t="n">
        <v>1</v>
      </c>
    </row>
    <row r="794">
      <c r="A794" s="71" t="n">
        <v>45923</v>
      </c>
      <c r="B794" t="n">
        <v>1</v>
      </c>
      <c r="D794" t="inlineStr">
        <is>
          <t>PAS</t>
        </is>
      </c>
      <c r="E794" t="inlineStr">
        <is>
          <t>CLF</t>
        </is>
      </c>
      <c r="F794" t="inlineStr">
        <is>
          <t>CLF</t>
        </is>
      </c>
      <c r="H794" t="inlineStr">
        <is>
          <t>MT_CTA. AHORRO</t>
        </is>
      </c>
      <c r="I794" t="inlineStr">
        <is>
          <t>CTA. AHORRO G.INC_CORE_CORE</t>
        </is>
      </c>
      <c r="K794" t="n">
        <v>167</v>
      </c>
      <c r="M794" s="71" t="n">
        <v>50982</v>
      </c>
      <c r="N794" s="71" t="n">
        <v>50982</v>
      </c>
      <c r="O794" s="71" t="n">
        <v>50982</v>
      </c>
      <c r="P794" t="n">
        <v>13.74786585365854</v>
      </c>
      <c r="V794" t="n">
        <v>1</v>
      </c>
      <c r="W794" t="inlineStr">
        <is>
          <t>BALANCE TASAS</t>
        </is>
      </c>
      <c r="Y794" t="inlineStr">
        <is>
          <t>BALANCE TASAS</t>
        </is>
      </c>
      <c r="Z794" t="inlineStr">
        <is>
          <t>HTM</t>
        </is>
      </c>
      <c r="AA794" t="n">
        <v>1</v>
      </c>
    </row>
    <row r="795">
      <c r="A795" s="71" t="n">
        <v>45923</v>
      </c>
      <c r="B795" t="n">
        <v>1</v>
      </c>
      <c r="D795" t="inlineStr">
        <is>
          <t>PAS</t>
        </is>
      </c>
      <c r="E795" t="inlineStr">
        <is>
          <t>CLF</t>
        </is>
      </c>
      <c r="F795" t="inlineStr">
        <is>
          <t>CLF</t>
        </is>
      </c>
      <c r="H795" t="inlineStr">
        <is>
          <t>MT_CTA. AHORRO</t>
        </is>
      </c>
      <c r="I795" t="inlineStr">
        <is>
          <t>CTA. AHORRO G.INC_CORE_CORE</t>
        </is>
      </c>
      <c r="K795" t="n">
        <v>168</v>
      </c>
      <c r="M795" s="71" t="n">
        <v>51013</v>
      </c>
      <c r="N795" s="71" t="n">
        <v>51013</v>
      </c>
      <c r="O795" s="71" t="n">
        <v>51013</v>
      </c>
      <c r="P795" t="n">
        <v>13.74786585365854</v>
      </c>
      <c r="V795" t="n">
        <v>1</v>
      </c>
      <c r="W795" t="inlineStr">
        <is>
          <t>BALANCE TASAS</t>
        </is>
      </c>
      <c r="Y795" t="inlineStr">
        <is>
          <t>BALANCE TASAS</t>
        </is>
      </c>
      <c r="Z795" t="inlineStr">
        <is>
          <t>HTM</t>
        </is>
      </c>
      <c r="AA795" t="n">
        <v>1</v>
      </c>
    </row>
    <row r="796">
      <c r="A796" s="71" t="n">
        <v>45923</v>
      </c>
      <c r="B796" t="n">
        <v>1</v>
      </c>
      <c r="D796" t="inlineStr">
        <is>
          <t>PAS</t>
        </is>
      </c>
      <c r="E796" t="inlineStr">
        <is>
          <t>CLF</t>
        </is>
      </c>
      <c r="F796" t="inlineStr">
        <is>
          <t>CLF</t>
        </is>
      </c>
      <c r="H796" t="inlineStr">
        <is>
          <t>MT_CTA. AHORRO</t>
        </is>
      </c>
      <c r="I796" t="inlineStr">
        <is>
          <t>CTA. AHORRO G.INC_CORE_CORE</t>
        </is>
      </c>
      <c r="K796" t="n">
        <v>169</v>
      </c>
      <c r="M796" s="71" t="n">
        <v>51043</v>
      </c>
      <c r="N796" s="71" t="n">
        <v>51043</v>
      </c>
      <c r="O796" s="71" t="n">
        <v>51043</v>
      </c>
      <c r="P796" t="n">
        <v>13.74786585365854</v>
      </c>
      <c r="V796" t="n">
        <v>1</v>
      </c>
      <c r="W796" t="inlineStr">
        <is>
          <t>BALANCE TASAS</t>
        </is>
      </c>
      <c r="Y796" t="inlineStr">
        <is>
          <t>BALANCE TASAS</t>
        </is>
      </c>
      <c r="Z796" t="inlineStr">
        <is>
          <t>HTM</t>
        </is>
      </c>
      <c r="AA796" t="n">
        <v>1</v>
      </c>
    </row>
    <row r="797">
      <c r="A797" s="71" t="n">
        <v>45923</v>
      </c>
      <c r="B797" t="n">
        <v>1</v>
      </c>
      <c r="D797" t="inlineStr">
        <is>
          <t>PAS</t>
        </is>
      </c>
      <c r="E797" t="inlineStr">
        <is>
          <t>CLF</t>
        </is>
      </c>
      <c r="F797" t="inlineStr">
        <is>
          <t>CLF</t>
        </is>
      </c>
      <c r="H797" t="inlineStr">
        <is>
          <t>MT_CTA. AHORRO</t>
        </is>
      </c>
      <c r="I797" t="inlineStr">
        <is>
          <t>CTA. AHORRO G.INC_CORE_CORE</t>
        </is>
      </c>
      <c r="K797" t="n">
        <v>170</v>
      </c>
      <c r="M797" s="71" t="n">
        <v>51074</v>
      </c>
      <c r="N797" s="71" t="n">
        <v>51074</v>
      </c>
      <c r="O797" s="71" t="n">
        <v>51074</v>
      </c>
      <c r="P797" t="n">
        <v>13.74786585365854</v>
      </c>
      <c r="V797" t="n">
        <v>1</v>
      </c>
      <c r="W797" t="inlineStr">
        <is>
          <t>BALANCE TASAS</t>
        </is>
      </c>
      <c r="Y797" t="inlineStr">
        <is>
          <t>BALANCE TASAS</t>
        </is>
      </c>
      <c r="Z797" t="inlineStr">
        <is>
          <t>HTM</t>
        </is>
      </c>
      <c r="AA797" t="n">
        <v>1</v>
      </c>
    </row>
    <row r="798">
      <c r="A798" s="71" t="n">
        <v>45923</v>
      </c>
      <c r="B798" t="n">
        <v>1</v>
      </c>
      <c r="D798" t="inlineStr">
        <is>
          <t>PAS</t>
        </is>
      </c>
      <c r="E798" t="inlineStr">
        <is>
          <t>CLF</t>
        </is>
      </c>
      <c r="F798" t="inlineStr">
        <is>
          <t>CLF</t>
        </is>
      </c>
      <c r="H798" t="inlineStr">
        <is>
          <t>MT_CTA. AHORRO</t>
        </is>
      </c>
      <c r="I798" t="inlineStr">
        <is>
          <t>CTA. AHORRO G.INC_CORE_CORE</t>
        </is>
      </c>
      <c r="K798" t="n">
        <v>171</v>
      </c>
      <c r="M798" s="71" t="n">
        <v>51104</v>
      </c>
      <c r="N798" s="71" t="n">
        <v>51104</v>
      </c>
      <c r="O798" s="71" t="n">
        <v>51104</v>
      </c>
      <c r="P798" t="n">
        <v>13.74786585365854</v>
      </c>
      <c r="V798" t="n">
        <v>1</v>
      </c>
      <c r="W798" t="inlineStr">
        <is>
          <t>BALANCE TASAS</t>
        </is>
      </c>
      <c r="Y798" t="inlineStr">
        <is>
          <t>BALANCE TASAS</t>
        </is>
      </c>
      <c r="Z798" t="inlineStr">
        <is>
          <t>HTM</t>
        </is>
      </c>
      <c r="AA798" t="n">
        <v>1</v>
      </c>
    </row>
    <row r="799">
      <c r="A799" s="71" t="n">
        <v>45923</v>
      </c>
      <c r="B799" t="n">
        <v>1</v>
      </c>
      <c r="D799" t="inlineStr">
        <is>
          <t>PAS</t>
        </is>
      </c>
      <c r="E799" t="inlineStr">
        <is>
          <t>CLF</t>
        </is>
      </c>
      <c r="F799" t="inlineStr">
        <is>
          <t>CLF</t>
        </is>
      </c>
      <c r="H799" t="inlineStr">
        <is>
          <t>MT_CTA. AHORRO</t>
        </is>
      </c>
      <c r="I799" t="inlineStr">
        <is>
          <t>CTA. AHORRO G.INC_CORE_CORE</t>
        </is>
      </c>
      <c r="K799" t="n">
        <v>172</v>
      </c>
      <c r="M799" s="71" t="n">
        <v>51135</v>
      </c>
      <c r="N799" s="71" t="n">
        <v>51135</v>
      </c>
      <c r="O799" s="71" t="n">
        <v>51135</v>
      </c>
      <c r="P799" t="n">
        <v>13.74786585365854</v>
      </c>
      <c r="V799" t="n">
        <v>1</v>
      </c>
      <c r="W799" t="inlineStr">
        <is>
          <t>BALANCE TASAS</t>
        </is>
      </c>
      <c r="Y799" t="inlineStr">
        <is>
          <t>BALANCE TASAS</t>
        </is>
      </c>
      <c r="Z799" t="inlineStr">
        <is>
          <t>HTM</t>
        </is>
      </c>
      <c r="AA799" t="n">
        <v>1</v>
      </c>
    </row>
    <row r="800">
      <c r="A800" s="71" t="n">
        <v>45923</v>
      </c>
      <c r="B800" t="n">
        <v>1</v>
      </c>
      <c r="D800" t="inlineStr">
        <is>
          <t>PAS</t>
        </is>
      </c>
      <c r="E800" t="inlineStr">
        <is>
          <t>CLF</t>
        </is>
      </c>
      <c r="F800" t="inlineStr">
        <is>
          <t>CLF</t>
        </is>
      </c>
      <c r="H800" t="inlineStr">
        <is>
          <t>MT_CTA. AHORRO</t>
        </is>
      </c>
      <c r="I800" t="inlineStr">
        <is>
          <t>CTA. AHORRO G.INC_CORE_CORE</t>
        </is>
      </c>
      <c r="K800" t="n">
        <v>173</v>
      </c>
      <c r="M800" s="71" t="n">
        <v>51166</v>
      </c>
      <c r="N800" s="71" t="n">
        <v>51166</v>
      </c>
      <c r="O800" s="71" t="n">
        <v>51166</v>
      </c>
      <c r="P800" t="n">
        <v>13.74786585365854</v>
      </c>
      <c r="V800" t="n">
        <v>1</v>
      </c>
      <c r="W800" t="inlineStr">
        <is>
          <t>BALANCE TASAS</t>
        </is>
      </c>
      <c r="Y800" t="inlineStr">
        <is>
          <t>BALANCE TASAS</t>
        </is>
      </c>
      <c r="Z800" t="inlineStr">
        <is>
          <t>HTM</t>
        </is>
      </c>
      <c r="AA800" t="n">
        <v>1</v>
      </c>
    </row>
    <row r="801">
      <c r="A801" s="71" t="n">
        <v>45923</v>
      </c>
      <c r="B801" t="n">
        <v>1</v>
      </c>
      <c r="D801" t="inlineStr">
        <is>
          <t>PAS</t>
        </is>
      </c>
      <c r="E801" t="inlineStr">
        <is>
          <t>CLF</t>
        </is>
      </c>
      <c r="F801" t="inlineStr">
        <is>
          <t>CLF</t>
        </is>
      </c>
      <c r="H801" t="inlineStr">
        <is>
          <t>MT_CTA. AHORRO</t>
        </is>
      </c>
      <c r="I801" t="inlineStr">
        <is>
          <t>CTA. AHORRO G.INC_CORE_CORE</t>
        </is>
      </c>
      <c r="K801" t="n">
        <v>174</v>
      </c>
      <c r="M801" s="71" t="n">
        <v>51195</v>
      </c>
      <c r="N801" s="71" t="n">
        <v>51195</v>
      </c>
      <c r="O801" s="71" t="n">
        <v>51195</v>
      </c>
      <c r="P801" t="n">
        <v>13.74786585365854</v>
      </c>
      <c r="V801" t="n">
        <v>1</v>
      </c>
      <c r="W801" t="inlineStr">
        <is>
          <t>BALANCE TASAS</t>
        </is>
      </c>
      <c r="Y801" t="inlineStr">
        <is>
          <t>BALANCE TASAS</t>
        </is>
      </c>
      <c r="Z801" t="inlineStr">
        <is>
          <t>HTM</t>
        </is>
      </c>
      <c r="AA801" t="n">
        <v>1</v>
      </c>
    </row>
    <row r="802">
      <c r="A802" s="71" t="n">
        <v>45923</v>
      </c>
      <c r="B802" t="n">
        <v>1</v>
      </c>
      <c r="D802" t="inlineStr">
        <is>
          <t>PAS</t>
        </is>
      </c>
      <c r="E802" t="inlineStr">
        <is>
          <t>CLF</t>
        </is>
      </c>
      <c r="F802" t="inlineStr">
        <is>
          <t>CLF</t>
        </is>
      </c>
      <c r="H802" t="inlineStr">
        <is>
          <t>MT_CTA. AHORRO</t>
        </is>
      </c>
      <c r="I802" t="inlineStr">
        <is>
          <t>CTA. AHORRO G.INC_CORE_CORE</t>
        </is>
      </c>
      <c r="K802" t="n">
        <v>175</v>
      </c>
      <c r="M802" s="71" t="n">
        <v>51226</v>
      </c>
      <c r="N802" s="71" t="n">
        <v>51226</v>
      </c>
      <c r="O802" s="71" t="n">
        <v>51226</v>
      </c>
      <c r="P802" t="n">
        <v>13.74786585365854</v>
      </c>
      <c r="V802" t="n">
        <v>1</v>
      </c>
      <c r="W802" t="inlineStr">
        <is>
          <t>BALANCE TASAS</t>
        </is>
      </c>
      <c r="Y802" t="inlineStr">
        <is>
          <t>BALANCE TASAS</t>
        </is>
      </c>
      <c r="Z802" t="inlineStr">
        <is>
          <t>HTM</t>
        </is>
      </c>
      <c r="AA802" t="n">
        <v>1</v>
      </c>
    </row>
    <row r="803">
      <c r="A803" s="71" t="n">
        <v>45923</v>
      </c>
      <c r="B803" t="n">
        <v>1</v>
      </c>
      <c r="D803" t="inlineStr">
        <is>
          <t>PAS</t>
        </is>
      </c>
      <c r="E803" t="inlineStr">
        <is>
          <t>CLF</t>
        </is>
      </c>
      <c r="F803" t="inlineStr">
        <is>
          <t>CLF</t>
        </is>
      </c>
      <c r="H803" t="inlineStr">
        <is>
          <t>MT_CTA. AHORRO</t>
        </is>
      </c>
      <c r="I803" t="inlineStr">
        <is>
          <t>CTA. AHORRO G.INC_CORE_CORE</t>
        </is>
      </c>
      <c r="K803" t="n">
        <v>176</v>
      </c>
      <c r="M803" s="71" t="n">
        <v>51256</v>
      </c>
      <c r="N803" s="71" t="n">
        <v>51256</v>
      </c>
      <c r="O803" s="71" t="n">
        <v>51256</v>
      </c>
      <c r="P803" t="n">
        <v>13.74786585365854</v>
      </c>
      <c r="V803" t="n">
        <v>1</v>
      </c>
      <c r="W803" t="inlineStr">
        <is>
          <t>BALANCE TASAS</t>
        </is>
      </c>
      <c r="Y803" t="inlineStr">
        <is>
          <t>BALANCE TASAS</t>
        </is>
      </c>
      <c r="Z803" t="inlineStr">
        <is>
          <t>HTM</t>
        </is>
      </c>
      <c r="AA803" t="n">
        <v>1</v>
      </c>
    </row>
    <row r="804">
      <c r="A804" s="71" t="n">
        <v>45923</v>
      </c>
      <c r="B804" t="n">
        <v>1</v>
      </c>
      <c r="D804" t="inlineStr">
        <is>
          <t>PAS</t>
        </is>
      </c>
      <c r="E804" t="inlineStr">
        <is>
          <t>CLF</t>
        </is>
      </c>
      <c r="F804" t="inlineStr">
        <is>
          <t>CLF</t>
        </is>
      </c>
      <c r="H804" t="inlineStr">
        <is>
          <t>MT_CTA. AHORRO</t>
        </is>
      </c>
      <c r="I804" t="inlineStr">
        <is>
          <t>CTA. AHORRO G.INC_CORE_CORE</t>
        </is>
      </c>
      <c r="K804" t="n">
        <v>177</v>
      </c>
      <c r="M804" s="71" t="n">
        <v>51287</v>
      </c>
      <c r="N804" s="71" t="n">
        <v>51287</v>
      </c>
      <c r="O804" s="71" t="n">
        <v>51287</v>
      </c>
      <c r="P804" t="n">
        <v>13.74786585365854</v>
      </c>
      <c r="V804" t="n">
        <v>1</v>
      </c>
      <c r="W804" t="inlineStr">
        <is>
          <t>BALANCE TASAS</t>
        </is>
      </c>
      <c r="Y804" t="inlineStr">
        <is>
          <t>BALANCE TASAS</t>
        </is>
      </c>
      <c r="Z804" t="inlineStr">
        <is>
          <t>HTM</t>
        </is>
      </c>
      <c r="AA804" t="n">
        <v>1</v>
      </c>
    </row>
    <row r="805">
      <c r="A805" s="71" t="n">
        <v>45923</v>
      </c>
      <c r="B805" t="n">
        <v>1</v>
      </c>
      <c r="D805" t="inlineStr">
        <is>
          <t>PAS</t>
        </is>
      </c>
      <c r="E805" t="inlineStr">
        <is>
          <t>CLF</t>
        </is>
      </c>
      <c r="F805" t="inlineStr">
        <is>
          <t>CLF</t>
        </is>
      </c>
      <c r="H805" t="inlineStr">
        <is>
          <t>MT_CTA. AHORRO</t>
        </is>
      </c>
      <c r="I805" t="inlineStr">
        <is>
          <t>CTA. AHORRO G.INC_CORE_CORE</t>
        </is>
      </c>
      <c r="K805" t="n">
        <v>178</v>
      </c>
      <c r="M805" s="71" t="n">
        <v>51317</v>
      </c>
      <c r="N805" s="71" t="n">
        <v>51317</v>
      </c>
      <c r="O805" s="71" t="n">
        <v>51317</v>
      </c>
      <c r="P805" t="n">
        <v>13.74786585365854</v>
      </c>
      <c r="V805" t="n">
        <v>1</v>
      </c>
      <c r="W805" t="inlineStr">
        <is>
          <t>BALANCE TASAS</t>
        </is>
      </c>
      <c r="Y805" t="inlineStr">
        <is>
          <t>BALANCE TASAS</t>
        </is>
      </c>
      <c r="Z805" t="inlineStr">
        <is>
          <t>HTM</t>
        </is>
      </c>
      <c r="AA805" t="n">
        <v>1</v>
      </c>
    </row>
    <row r="806">
      <c r="A806" s="71" t="n">
        <v>45923</v>
      </c>
      <c r="B806" t="n">
        <v>1</v>
      </c>
      <c r="D806" t="inlineStr">
        <is>
          <t>PAS</t>
        </is>
      </c>
      <c r="E806" t="inlineStr">
        <is>
          <t>CLF</t>
        </is>
      </c>
      <c r="F806" t="inlineStr">
        <is>
          <t>CLF</t>
        </is>
      </c>
      <c r="H806" t="inlineStr">
        <is>
          <t>MT_CTA. AHORRO</t>
        </is>
      </c>
      <c r="I806" t="inlineStr">
        <is>
          <t>CTA. AHORRO G.INC_CORE_CORE</t>
        </is>
      </c>
      <c r="K806" t="n">
        <v>179</v>
      </c>
      <c r="M806" s="71" t="n">
        <v>51348</v>
      </c>
      <c r="N806" s="71" t="n">
        <v>51348</v>
      </c>
      <c r="O806" s="71" t="n">
        <v>51348</v>
      </c>
      <c r="P806" t="n">
        <v>13.74786585365854</v>
      </c>
      <c r="V806" t="n">
        <v>1</v>
      </c>
      <c r="W806" t="inlineStr">
        <is>
          <t>BALANCE TASAS</t>
        </is>
      </c>
      <c r="Y806" t="inlineStr">
        <is>
          <t>BALANCE TASAS</t>
        </is>
      </c>
      <c r="Z806" t="inlineStr">
        <is>
          <t>HTM</t>
        </is>
      </c>
      <c r="AA806" t="n">
        <v>1</v>
      </c>
    </row>
    <row r="807">
      <c r="A807" s="71" t="n">
        <v>45923</v>
      </c>
      <c r="B807" t="n">
        <v>1</v>
      </c>
      <c r="D807" t="inlineStr">
        <is>
          <t>PAS</t>
        </is>
      </c>
      <c r="E807" t="inlineStr">
        <is>
          <t>CLF</t>
        </is>
      </c>
      <c r="F807" t="inlineStr">
        <is>
          <t>CLF</t>
        </is>
      </c>
      <c r="H807" t="inlineStr">
        <is>
          <t>MT_CTA. AHORRO</t>
        </is>
      </c>
      <c r="I807" t="inlineStr">
        <is>
          <t>CTA. AHORRO G.INC_CORE_CORE</t>
        </is>
      </c>
      <c r="K807" t="n">
        <v>180</v>
      </c>
      <c r="M807" s="71" t="n">
        <v>51379</v>
      </c>
      <c r="N807" s="71" t="n">
        <v>51379</v>
      </c>
      <c r="O807" s="71" t="n">
        <v>51379</v>
      </c>
      <c r="P807" t="n">
        <v>13.74786585365854</v>
      </c>
      <c r="V807" t="n">
        <v>1</v>
      </c>
      <c r="W807" t="inlineStr">
        <is>
          <t>BALANCE TASAS</t>
        </is>
      </c>
      <c r="Y807" t="inlineStr">
        <is>
          <t>BALANCE TASAS</t>
        </is>
      </c>
      <c r="Z807" t="inlineStr">
        <is>
          <t>HTM</t>
        </is>
      </c>
      <c r="AA807" t="n">
        <v>1</v>
      </c>
    </row>
    <row r="808">
      <c r="A808" s="71" t="n">
        <v>45923</v>
      </c>
      <c r="B808" t="n">
        <v>1</v>
      </c>
      <c r="D808" t="inlineStr">
        <is>
          <t>PAS</t>
        </is>
      </c>
      <c r="E808" t="inlineStr">
        <is>
          <t>CLF</t>
        </is>
      </c>
      <c r="F808" t="inlineStr">
        <is>
          <t>CLF</t>
        </is>
      </c>
      <c r="H808" t="inlineStr">
        <is>
          <t>MT_CTA. AHORRO</t>
        </is>
      </c>
      <c r="I808" t="inlineStr">
        <is>
          <t>CTA. AHORRO G.INC_CORE_CORE</t>
        </is>
      </c>
      <c r="K808" t="n">
        <v>181</v>
      </c>
      <c r="M808" s="71" t="n">
        <v>51409</v>
      </c>
      <c r="N808" s="71" t="n">
        <v>51409</v>
      </c>
      <c r="O808" s="71" t="n">
        <v>51409</v>
      </c>
      <c r="P808" t="n">
        <v>13.74786585365854</v>
      </c>
      <c r="V808" t="n">
        <v>1</v>
      </c>
      <c r="W808" t="inlineStr">
        <is>
          <t>BALANCE TASAS</t>
        </is>
      </c>
      <c r="Y808" t="inlineStr">
        <is>
          <t>BALANCE TASAS</t>
        </is>
      </c>
      <c r="Z808" t="inlineStr">
        <is>
          <t>HTM</t>
        </is>
      </c>
      <c r="AA808" t="n">
        <v>1</v>
      </c>
    </row>
    <row r="809">
      <c r="A809" s="71" t="n">
        <v>45923</v>
      </c>
      <c r="B809" t="n">
        <v>1</v>
      </c>
      <c r="D809" t="inlineStr">
        <is>
          <t>PAS</t>
        </is>
      </c>
      <c r="E809" t="inlineStr">
        <is>
          <t>CLF</t>
        </is>
      </c>
      <c r="F809" t="inlineStr">
        <is>
          <t>CLF</t>
        </is>
      </c>
      <c r="H809" t="inlineStr">
        <is>
          <t>MT_CTA. AHORRO</t>
        </is>
      </c>
      <c r="I809" t="inlineStr">
        <is>
          <t>CTA. AHORRO G.INC_CORE_CORE</t>
        </is>
      </c>
      <c r="K809" t="n">
        <v>182</v>
      </c>
      <c r="M809" s="71" t="n">
        <v>51440</v>
      </c>
      <c r="N809" s="71" t="n">
        <v>51440</v>
      </c>
      <c r="O809" s="71" t="n">
        <v>51440</v>
      </c>
      <c r="P809" t="n">
        <v>13.74786585365854</v>
      </c>
      <c r="V809" t="n">
        <v>1</v>
      </c>
      <c r="W809" t="inlineStr">
        <is>
          <t>BALANCE TASAS</t>
        </is>
      </c>
      <c r="Y809" t="inlineStr">
        <is>
          <t>BALANCE TASAS</t>
        </is>
      </c>
      <c r="Z809" t="inlineStr">
        <is>
          <t>HTM</t>
        </is>
      </c>
      <c r="AA809" t="n">
        <v>1</v>
      </c>
    </row>
    <row r="810">
      <c r="A810" s="71" t="n">
        <v>45923</v>
      </c>
      <c r="B810" t="n">
        <v>1</v>
      </c>
      <c r="D810" t="inlineStr">
        <is>
          <t>PAS</t>
        </is>
      </c>
      <c r="E810" t="inlineStr">
        <is>
          <t>CLF</t>
        </is>
      </c>
      <c r="F810" t="inlineStr">
        <is>
          <t>CLF</t>
        </is>
      </c>
      <c r="H810" t="inlineStr">
        <is>
          <t>MT_CTA. AHORRO</t>
        </is>
      </c>
      <c r="I810" t="inlineStr">
        <is>
          <t>CTA. AHORRO G.INC_CORE_CORE</t>
        </is>
      </c>
      <c r="K810" t="n">
        <v>183</v>
      </c>
      <c r="M810" s="71" t="n">
        <v>51470</v>
      </c>
      <c r="N810" s="71" t="n">
        <v>51470</v>
      </c>
      <c r="O810" s="71" t="n">
        <v>51470</v>
      </c>
      <c r="P810" t="n">
        <v>13.74786585365854</v>
      </c>
      <c r="V810" t="n">
        <v>1</v>
      </c>
      <c r="W810" t="inlineStr">
        <is>
          <t>BALANCE TASAS</t>
        </is>
      </c>
      <c r="Y810" t="inlineStr">
        <is>
          <t>BALANCE TASAS</t>
        </is>
      </c>
      <c r="Z810" t="inlineStr">
        <is>
          <t>HTM</t>
        </is>
      </c>
      <c r="AA810" t="n">
        <v>1</v>
      </c>
    </row>
    <row r="811">
      <c r="A811" s="71" t="n">
        <v>45923</v>
      </c>
      <c r="B811" t="n">
        <v>1</v>
      </c>
      <c r="D811" t="inlineStr">
        <is>
          <t>PAS</t>
        </is>
      </c>
      <c r="E811" t="inlineStr">
        <is>
          <t>CLF</t>
        </is>
      </c>
      <c r="F811" t="inlineStr">
        <is>
          <t>CLF</t>
        </is>
      </c>
      <c r="H811" t="inlineStr">
        <is>
          <t>MT_CTA. AHORRO</t>
        </is>
      </c>
      <c r="I811" t="inlineStr">
        <is>
          <t>CTA. AHORRO G.INC_CORE_CORE</t>
        </is>
      </c>
      <c r="K811" t="n">
        <v>184</v>
      </c>
      <c r="M811" s="71" t="n">
        <v>51501</v>
      </c>
      <c r="N811" s="71" t="n">
        <v>51501</v>
      </c>
      <c r="O811" s="71" t="n">
        <v>51501</v>
      </c>
      <c r="P811" t="n">
        <v>13.74786585365854</v>
      </c>
      <c r="V811" t="n">
        <v>1</v>
      </c>
      <c r="W811" t="inlineStr">
        <is>
          <t>BALANCE TASAS</t>
        </is>
      </c>
      <c r="Y811" t="inlineStr">
        <is>
          <t>BALANCE TASAS</t>
        </is>
      </c>
      <c r="Z811" t="inlineStr">
        <is>
          <t>HTM</t>
        </is>
      </c>
      <c r="AA811" t="n">
        <v>1</v>
      </c>
    </row>
    <row r="812">
      <c r="A812" s="71" t="n">
        <v>45923</v>
      </c>
      <c r="B812" t="n">
        <v>1</v>
      </c>
      <c r="D812" t="inlineStr">
        <is>
          <t>PAS</t>
        </is>
      </c>
      <c r="E812" t="inlineStr">
        <is>
          <t>CLF</t>
        </is>
      </c>
      <c r="F812" t="inlineStr">
        <is>
          <t>CLF</t>
        </is>
      </c>
      <c r="H812" t="inlineStr">
        <is>
          <t>MT_CTA. AHORRO</t>
        </is>
      </c>
      <c r="I812" t="inlineStr">
        <is>
          <t>CTA. AHORRO G.INC_CORE_CORE</t>
        </is>
      </c>
      <c r="K812" t="n">
        <v>185</v>
      </c>
      <c r="M812" s="71" t="n">
        <v>51532</v>
      </c>
      <c r="N812" s="71" t="n">
        <v>51532</v>
      </c>
      <c r="O812" s="71" t="n">
        <v>51532</v>
      </c>
      <c r="P812" t="n">
        <v>13.74786585365854</v>
      </c>
      <c r="V812" t="n">
        <v>1</v>
      </c>
      <c r="W812" t="inlineStr">
        <is>
          <t>BALANCE TASAS</t>
        </is>
      </c>
      <c r="Y812" t="inlineStr">
        <is>
          <t>BALANCE TASAS</t>
        </is>
      </c>
      <c r="Z812" t="inlineStr">
        <is>
          <t>HTM</t>
        </is>
      </c>
      <c r="AA812" t="n">
        <v>1</v>
      </c>
    </row>
    <row r="813">
      <c r="A813" s="71" t="n">
        <v>45923</v>
      </c>
      <c r="B813" t="n">
        <v>1</v>
      </c>
      <c r="D813" t="inlineStr">
        <is>
          <t>PAS</t>
        </is>
      </c>
      <c r="E813" t="inlineStr">
        <is>
          <t>CLF</t>
        </is>
      </c>
      <c r="F813" t="inlineStr">
        <is>
          <t>CLF</t>
        </is>
      </c>
      <c r="H813" t="inlineStr">
        <is>
          <t>MT_CTA. AHORRO</t>
        </is>
      </c>
      <c r="I813" t="inlineStr">
        <is>
          <t>CTA. AHORRO G.INC_CORE_CORE</t>
        </is>
      </c>
      <c r="K813" t="n">
        <v>186</v>
      </c>
      <c r="M813" s="71" t="n">
        <v>51560</v>
      </c>
      <c r="N813" s="71" t="n">
        <v>51560</v>
      </c>
      <c r="O813" s="71" t="n">
        <v>51560</v>
      </c>
      <c r="P813" t="n">
        <v>13.74786585365854</v>
      </c>
      <c r="V813" t="n">
        <v>1</v>
      </c>
      <c r="W813" t="inlineStr">
        <is>
          <t>BALANCE TASAS</t>
        </is>
      </c>
      <c r="Y813" t="inlineStr">
        <is>
          <t>BALANCE TASAS</t>
        </is>
      </c>
      <c r="Z813" t="inlineStr">
        <is>
          <t>HTM</t>
        </is>
      </c>
      <c r="AA813" t="n">
        <v>1</v>
      </c>
    </row>
    <row r="814">
      <c r="A814" s="71" t="n">
        <v>45923</v>
      </c>
      <c r="B814" t="n">
        <v>1</v>
      </c>
      <c r="D814" t="inlineStr">
        <is>
          <t>PAS</t>
        </is>
      </c>
      <c r="E814" t="inlineStr">
        <is>
          <t>CLF</t>
        </is>
      </c>
      <c r="F814" t="inlineStr">
        <is>
          <t>CLF</t>
        </is>
      </c>
      <c r="H814" t="inlineStr">
        <is>
          <t>MT_CTA. AHORRO</t>
        </is>
      </c>
      <c r="I814" t="inlineStr">
        <is>
          <t>CTA. AHORRO G.INC_CORE_CORE</t>
        </is>
      </c>
      <c r="K814" t="n">
        <v>187</v>
      </c>
      <c r="M814" s="71" t="n">
        <v>51591</v>
      </c>
      <c r="N814" s="71" t="n">
        <v>51591</v>
      </c>
      <c r="O814" s="71" t="n">
        <v>51591</v>
      </c>
      <c r="P814" t="n">
        <v>13.74786585365854</v>
      </c>
      <c r="V814" t="n">
        <v>1</v>
      </c>
      <c r="W814" t="inlineStr">
        <is>
          <t>BALANCE TASAS</t>
        </is>
      </c>
      <c r="Y814" t="inlineStr">
        <is>
          <t>BALANCE TASAS</t>
        </is>
      </c>
      <c r="Z814" t="inlineStr">
        <is>
          <t>HTM</t>
        </is>
      </c>
      <c r="AA814" t="n">
        <v>1</v>
      </c>
    </row>
    <row r="815">
      <c r="A815" s="71" t="n">
        <v>45923</v>
      </c>
      <c r="B815" t="n">
        <v>1</v>
      </c>
      <c r="D815" t="inlineStr">
        <is>
          <t>PAS</t>
        </is>
      </c>
      <c r="E815" t="inlineStr">
        <is>
          <t>CLF</t>
        </is>
      </c>
      <c r="F815" t="inlineStr">
        <is>
          <t>CLF</t>
        </is>
      </c>
      <c r="H815" t="inlineStr">
        <is>
          <t>MT_CTA. AHORRO</t>
        </is>
      </c>
      <c r="I815" t="inlineStr">
        <is>
          <t>CTA. AHORRO G.INC_CORE_CORE</t>
        </is>
      </c>
      <c r="K815" t="n">
        <v>188</v>
      </c>
      <c r="M815" s="71" t="n">
        <v>51621</v>
      </c>
      <c r="N815" s="71" t="n">
        <v>51621</v>
      </c>
      <c r="O815" s="71" t="n">
        <v>51621</v>
      </c>
      <c r="P815" t="n">
        <v>13.74786585365854</v>
      </c>
      <c r="V815" t="n">
        <v>1</v>
      </c>
      <c r="W815" t="inlineStr">
        <is>
          <t>BALANCE TASAS</t>
        </is>
      </c>
      <c r="Y815" t="inlineStr">
        <is>
          <t>BALANCE TASAS</t>
        </is>
      </c>
      <c r="Z815" t="inlineStr">
        <is>
          <t>HTM</t>
        </is>
      </c>
      <c r="AA815" t="n">
        <v>1</v>
      </c>
    </row>
    <row r="816">
      <c r="A816" s="71" t="n">
        <v>45923</v>
      </c>
      <c r="B816" t="n">
        <v>1</v>
      </c>
      <c r="D816" t="inlineStr">
        <is>
          <t>PAS</t>
        </is>
      </c>
      <c r="E816" t="inlineStr">
        <is>
          <t>CLF</t>
        </is>
      </c>
      <c r="F816" t="inlineStr">
        <is>
          <t>CLF</t>
        </is>
      </c>
      <c r="H816" t="inlineStr">
        <is>
          <t>MT_CTA. AHORRO</t>
        </is>
      </c>
      <c r="I816" t="inlineStr">
        <is>
          <t>CTA. AHORRO G.INC_CORE_CORE</t>
        </is>
      </c>
      <c r="K816" t="n">
        <v>189</v>
      </c>
      <c r="M816" s="71" t="n">
        <v>51652</v>
      </c>
      <c r="N816" s="71" t="n">
        <v>51652</v>
      </c>
      <c r="O816" s="71" t="n">
        <v>51652</v>
      </c>
      <c r="P816" t="n">
        <v>13.74786585365854</v>
      </c>
      <c r="V816" t="n">
        <v>1</v>
      </c>
      <c r="W816" t="inlineStr">
        <is>
          <t>BALANCE TASAS</t>
        </is>
      </c>
      <c r="Y816" t="inlineStr">
        <is>
          <t>BALANCE TASAS</t>
        </is>
      </c>
      <c r="Z816" t="inlineStr">
        <is>
          <t>HTM</t>
        </is>
      </c>
      <c r="AA816" t="n">
        <v>1</v>
      </c>
    </row>
    <row r="817">
      <c r="A817" s="71" t="n">
        <v>45923</v>
      </c>
      <c r="B817" t="n">
        <v>1</v>
      </c>
      <c r="D817" t="inlineStr">
        <is>
          <t>PAS</t>
        </is>
      </c>
      <c r="E817" t="inlineStr">
        <is>
          <t>CLF</t>
        </is>
      </c>
      <c r="F817" t="inlineStr">
        <is>
          <t>CLF</t>
        </is>
      </c>
      <c r="H817" t="inlineStr">
        <is>
          <t>MT_CTA. AHORRO</t>
        </is>
      </c>
      <c r="I817" t="inlineStr">
        <is>
          <t>CTA. AHORRO G.INC_CORE_CORE</t>
        </is>
      </c>
      <c r="K817" t="n">
        <v>190</v>
      </c>
      <c r="M817" s="71" t="n">
        <v>51682</v>
      </c>
      <c r="N817" s="71" t="n">
        <v>51682</v>
      </c>
      <c r="O817" s="71" t="n">
        <v>51682</v>
      </c>
      <c r="P817" t="n">
        <v>13.74786585365854</v>
      </c>
      <c r="V817" t="n">
        <v>1</v>
      </c>
      <c r="W817" t="inlineStr">
        <is>
          <t>BALANCE TASAS</t>
        </is>
      </c>
      <c r="Y817" t="inlineStr">
        <is>
          <t>BALANCE TASAS</t>
        </is>
      </c>
      <c r="Z817" t="inlineStr">
        <is>
          <t>HTM</t>
        </is>
      </c>
      <c r="AA817" t="n">
        <v>1</v>
      </c>
    </row>
    <row r="818">
      <c r="A818" s="71" t="n">
        <v>45923</v>
      </c>
      <c r="B818" t="n">
        <v>1</v>
      </c>
      <c r="D818" t="inlineStr">
        <is>
          <t>PAS</t>
        </is>
      </c>
      <c r="E818" t="inlineStr">
        <is>
          <t>CLF</t>
        </is>
      </c>
      <c r="F818" t="inlineStr">
        <is>
          <t>CLF</t>
        </is>
      </c>
      <c r="H818" t="inlineStr">
        <is>
          <t>MT_CTA. AHORRO</t>
        </is>
      </c>
      <c r="I818" t="inlineStr">
        <is>
          <t>CTA. AHORRO G.INC_CORE_CORE</t>
        </is>
      </c>
      <c r="K818" t="n">
        <v>191</v>
      </c>
      <c r="M818" s="71" t="n">
        <v>51713</v>
      </c>
      <c r="N818" s="71" t="n">
        <v>51713</v>
      </c>
      <c r="O818" s="71" t="n">
        <v>51713</v>
      </c>
      <c r="P818" t="n">
        <v>13.74786585365854</v>
      </c>
      <c r="V818" t="n">
        <v>1</v>
      </c>
      <c r="W818" t="inlineStr">
        <is>
          <t>BALANCE TASAS</t>
        </is>
      </c>
      <c r="Y818" t="inlineStr">
        <is>
          <t>BALANCE TASAS</t>
        </is>
      </c>
      <c r="Z818" t="inlineStr">
        <is>
          <t>HTM</t>
        </is>
      </c>
      <c r="AA818" t="n">
        <v>1</v>
      </c>
    </row>
    <row r="819">
      <c r="A819" s="71" t="n">
        <v>45923</v>
      </c>
      <c r="B819" t="n">
        <v>1</v>
      </c>
      <c r="D819" t="inlineStr">
        <is>
          <t>PAS</t>
        </is>
      </c>
      <c r="E819" t="inlineStr">
        <is>
          <t>CLF</t>
        </is>
      </c>
      <c r="F819" t="inlineStr">
        <is>
          <t>CLF</t>
        </is>
      </c>
      <c r="H819" t="inlineStr">
        <is>
          <t>MT_CTA. AHORRO</t>
        </is>
      </c>
      <c r="I819" t="inlineStr">
        <is>
          <t>CTA. AHORRO G.INC_CORE_CORE</t>
        </is>
      </c>
      <c r="K819" t="n">
        <v>192</v>
      </c>
      <c r="M819" s="71" t="n">
        <v>51744</v>
      </c>
      <c r="N819" s="71" t="n">
        <v>51744</v>
      </c>
      <c r="O819" s="71" t="n">
        <v>51744</v>
      </c>
      <c r="P819" t="n">
        <v>13.74786585365854</v>
      </c>
      <c r="V819" t="n">
        <v>1</v>
      </c>
      <c r="W819" t="inlineStr">
        <is>
          <t>BALANCE TASAS</t>
        </is>
      </c>
      <c r="Y819" t="inlineStr">
        <is>
          <t>BALANCE TASAS</t>
        </is>
      </c>
      <c r="Z819" t="inlineStr">
        <is>
          <t>HTM</t>
        </is>
      </c>
      <c r="AA819" t="n">
        <v>1</v>
      </c>
    </row>
    <row r="820">
      <c r="A820" s="71" t="n">
        <v>45923</v>
      </c>
      <c r="B820" t="n">
        <v>1</v>
      </c>
      <c r="D820" t="inlineStr">
        <is>
          <t>PAS</t>
        </is>
      </c>
      <c r="E820" t="inlineStr">
        <is>
          <t>CLF</t>
        </is>
      </c>
      <c r="F820" t="inlineStr">
        <is>
          <t>CLF</t>
        </is>
      </c>
      <c r="H820" t="inlineStr">
        <is>
          <t>MT_CTA. AHORRO</t>
        </is>
      </c>
      <c r="I820" t="inlineStr">
        <is>
          <t>CTA. AHORRO G.INC_CORE_CORE</t>
        </is>
      </c>
      <c r="K820" t="n">
        <v>193</v>
      </c>
      <c r="M820" s="71" t="n">
        <v>51774</v>
      </c>
      <c r="N820" s="71" t="n">
        <v>51774</v>
      </c>
      <c r="O820" s="71" t="n">
        <v>51774</v>
      </c>
      <c r="P820" t="n">
        <v>13.74786585365854</v>
      </c>
      <c r="V820" t="n">
        <v>1</v>
      </c>
      <c r="W820" t="inlineStr">
        <is>
          <t>BALANCE TASAS</t>
        </is>
      </c>
      <c r="Y820" t="inlineStr">
        <is>
          <t>BALANCE TASAS</t>
        </is>
      </c>
      <c r="Z820" t="inlineStr">
        <is>
          <t>HTM</t>
        </is>
      </c>
      <c r="AA820" t="n">
        <v>1</v>
      </c>
    </row>
    <row r="821">
      <c r="A821" s="71" t="n">
        <v>45923</v>
      </c>
      <c r="B821" t="n">
        <v>1</v>
      </c>
      <c r="D821" t="inlineStr">
        <is>
          <t>PAS</t>
        </is>
      </c>
      <c r="E821" t="inlineStr">
        <is>
          <t>CLF</t>
        </is>
      </c>
      <c r="F821" t="inlineStr">
        <is>
          <t>CLF</t>
        </is>
      </c>
      <c r="H821" t="inlineStr">
        <is>
          <t>MT_CTA. AHORRO</t>
        </is>
      </c>
      <c r="I821" t="inlineStr">
        <is>
          <t>CTA. AHORRO G.INC_CORE_CORE</t>
        </is>
      </c>
      <c r="K821" t="n">
        <v>194</v>
      </c>
      <c r="M821" s="71" t="n">
        <v>51805</v>
      </c>
      <c r="N821" s="71" t="n">
        <v>51805</v>
      </c>
      <c r="O821" s="71" t="n">
        <v>51805</v>
      </c>
      <c r="P821" t="n">
        <v>13.74786585365854</v>
      </c>
      <c r="V821" t="n">
        <v>1</v>
      </c>
      <c r="W821" t="inlineStr">
        <is>
          <t>BALANCE TASAS</t>
        </is>
      </c>
      <c r="Y821" t="inlineStr">
        <is>
          <t>BALANCE TASAS</t>
        </is>
      </c>
      <c r="Z821" t="inlineStr">
        <is>
          <t>HTM</t>
        </is>
      </c>
      <c r="AA821" t="n">
        <v>1</v>
      </c>
    </row>
    <row r="822">
      <c r="A822" s="71" t="n">
        <v>45923</v>
      </c>
      <c r="B822" t="n">
        <v>1</v>
      </c>
      <c r="D822" t="inlineStr">
        <is>
          <t>PAS</t>
        </is>
      </c>
      <c r="E822" t="inlineStr">
        <is>
          <t>CLF</t>
        </is>
      </c>
      <c r="F822" t="inlineStr">
        <is>
          <t>CLF</t>
        </is>
      </c>
      <c r="H822" t="inlineStr">
        <is>
          <t>MT_CTA. AHORRO</t>
        </is>
      </c>
      <c r="I822" t="inlineStr">
        <is>
          <t>CTA. AHORRO G.INC_CORE_CORE</t>
        </is>
      </c>
      <c r="K822" t="n">
        <v>195</v>
      </c>
      <c r="M822" s="71" t="n">
        <v>51835</v>
      </c>
      <c r="N822" s="71" t="n">
        <v>51835</v>
      </c>
      <c r="O822" s="71" t="n">
        <v>51835</v>
      </c>
      <c r="P822" t="n">
        <v>13.74786585365854</v>
      </c>
      <c r="V822" t="n">
        <v>1</v>
      </c>
      <c r="W822" t="inlineStr">
        <is>
          <t>BALANCE TASAS</t>
        </is>
      </c>
      <c r="Y822" t="inlineStr">
        <is>
          <t>BALANCE TASAS</t>
        </is>
      </c>
      <c r="Z822" t="inlineStr">
        <is>
          <t>HTM</t>
        </is>
      </c>
      <c r="AA822" t="n">
        <v>1</v>
      </c>
    </row>
    <row r="823">
      <c r="A823" s="71" t="n">
        <v>45923</v>
      </c>
      <c r="B823" t="n">
        <v>1</v>
      </c>
      <c r="D823" t="inlineStr">
        <is>
          <t>PAS</t>
        </is>
      </c>
      <c r="E823" t="inlineStr">
        <is>
          <t>CLF</t>
        </is>
      </c>
      <c r="F823" t="inlineStr">
        <is>
          <t>CLF</t>
        </is>
      </c>
      <c r="H823" t="inlineStr">
        <is>
          <t>MT_CTA. AHORRO</t>
        </is>
      </c>
      <c r="I823" t="inlineStr">
        <is>
          <t>CTA. AHORRO G.INC_CORE_CORE</t>
        </is>
      </c>
      <c r="K823" t="n">
        <v>196</v>
      </c>
      <c r="M823" s="71" t="n">
        <v>51866</v>
      </c>
      <c r="N823" s="71" t="n">
        <v>51866</v>
      </c>
      <c r="O823" s="71" t="n">
        <v>51866</v>
      </c>
      <c r="P823" t="n">
        <v>13.74786585365854</v>
      </c>
      <c r="V823" t="n">
        <v>1</v>
      </c>
      <c r="W823" t="inlineStr">
        <is>
          <t>BALANCE TASAS</t>
        </is>
      </c>
      <c r="Y823" t="inlineStr">
        <is>
          <t>BALANCE TASAS</t>
        </is>
      </c>
      <c r="Z823" t="inlineStr">
        <is>
          <t>HTM</t>
        </is>
      </c>
      <c r="AA823" t="n">
        <v>1</v>
      </c>
    </row>
    <row r="824">
      <c r="A824" s="71" t="n">
        <v>45923</v>
      </c>
      <c r="B824" t="n">
        <v>1</v>
      </c>
      <c r="D824" t="inlineStr">
        <is>
          <t>PAS</t>
        </is>
      </c>
      <c r="E824" t="inlineStr">
        <is>
          <t>CLF</t>
        </is>
      </c>
      <c r="F824" t="inlineStr">
        <is>
          <t>CLF</t>
        </is>
      </c>
      <c r="H824" t="inlineStr">
        <is>
          <t>MT_CTA. AHORRO</t>
        </is>
      </c>
      <c r="I824" t="inlineStr">
        <is>
          <t>CTA. AHORRO G.INC_CORE_CORE</t>
        </is>
      </c>
      <c r="K824" t="n">
        <v>197</v>
      </c>
      <c r="M824" s="71" t="n">
        <v>51897</v>
      </c>
      <c r="N824" s="71" t="n">
        <v>51897</v>
      </c>
      <c r="O824" s="71" t="n">
        <v>51897</v>
      </c>
      <c r="P824" t="n">
        <v>13.74786585365854</v>
      </c>
      <c r="V824" t="n">
        <v>1</v>
      </c>
      <c r="W824" t="inlineStr">
        <is>
          <t>BALANCE TASAS</t>
        </is>
      </c>
      <c r="Y824" t="inlineStr">
        <is>
          <t>BALANCE TASAS</t>
        </is>
      </c>
      <c r="Z824" t="inlineStr">
        <is>
          <t>HTM</t>
        </is>
      </c>
      <c r="AA824" t="n">
        <v>1</v>
      </c>
    </row>
    <row r="825">
      <c r="A825" s="71" t="n">
        <v>45923</v>
      </c>
      <c r="B825" t="n">
        <v>1</v>
      </c>
      <c r="D825" t="inlineStr">
        <is>
          <t>PAS</t>
        </is>
      </c>
      <c r="E825" t="inlineStr">
        <is>
          <t>CLF</t>
        </is>
      </c>
      <c r="F825" t="inlineStr">
        <is>
          <t>CLF</t>
        </is>
      </c>
      <c r="H825" t="inlineStr">
        <is>
          <t>MT_CTA. AHORRO</t>
        </is>
      </c>
      <c r="I825" t="inlineStr">
        <is>
          <t>CTA. AHORRO G.INC_CORE_CORE</t>
        </is>
      </c>
      <c r="K825" t="n">
        <v>198</v>
      </c>
      <c r="M825" s="71" t="n">
        <v>51925</v>
      </c>
      <c r="N825" s="71" t="n">
        <v>51925</v>
      </c>
      <c r="O825" s="71" t="n">
        <v>51925</v>
      </c>
      <c r="P825" t="n">
        <v>13.74786585365854</v>
      </c>
      <c r="V825" t="n">
        <v>1</v>
      </c>
      <c r="W825" t="inlineStr">
        <is>
          <t>BALANCE TASAS</t>
        </is>
      </c>
      <c r="Y825" t="inlineStr">
        <is>
          <t>BALANCE TASAS</t>
        </is>
      </c>
      <c r="Z825" t="inlineStr">
        <is>
          <t>HTM</t>
        </is>
      </c>
      <c r="AA825" t="n">
        <v>1</v>
      </c>
    </row>
    <row r="826">
      <c r="A826" s="71" t="n">
        <v>45923</v>
      </c>
      <c r="B826" t="n">
        <v>1</v>
      </c>
      <c r="D826" t="inlineStr">
        <is>
          <t>PAS</t>
        </is>
      </c>
      <c r="E826" t="inlineStr">
        <is>
          <t>CLF</t>
        </is>
      </c>
      <c r="F826" t="inlineStr">
        <is>
          <t>CLF</t>
        </is>
      </c>
      <c r="H826" t="inlineStr">
        <is>
          <t>MT_CTA. AHORRO</t>
        </is>
      </c>
      <c r="I826" t="inlineStr">
        <is>
          <t>CTA. AHORRO G.INC_CORE_CORE</t>
        </is>
      </c>
      <c r="K826" t="n">
        <v>199</v>
      </c>
      <c r="M826" s="71" t="n">
        <v>51956</v>
      </c>
      <c r="N826" s="71" t="n">
        <v>51956</v>
      </c>
      <c r="O826" s="71" t="n">
        <v>51956</v>
      </c>
      <c r="P826" t="n">
        <v>13.74786585365854</v>
      </c>
      <c r="V826" t="n">
        <v>1</v>
      </c>
      <c r="W826" t="inlineStr">
        <is>
          <t>BALANCE TASAS</t>
        </is>
      </c>
      <c r="Y826" t="inlineStr">
        <is>
          <t>BALANCE TASAS</t>
        </is>
      </c>
      <c r="Z826" t="inlineStr">
        <is>
          <t>HTM</t>
        </is>
      </c>
      <c r="AA826" t="n">
        <v>1</v>
      </c>
    </row>
    <row r="827">
      <c r="A827" s="71" t="n">
        <v>45923</v>
      </c>
      <c r="B827" t="n">
        <v>1</v>
      </c>
      <c r="D827" t="inlineStr">
        <is>
          <t>PAS</t>
        </is>
      </c>
      <c r="E827" t="inlineStr">
        <is>
          <t>CLF</t>
        </is>
      </c>
      <c r="F827" t="inlineStr">
        <is>
          <t>CLF</t>
        </is>
      </c>
      <c r="H827" t="inlineStr">
        <is>
          <t>MT_CTA. AHORRO</t>
        </is>
      </c>
      <c r="I827" t="inlineStr">
        <is>
          <t>CTA. AHORRO G.INC_CORE_CORE</t>
        </is>
      </c>
      <c r="K827" t="n">
        <v>200</v>
      </c>
      <c r="M827" s="71" t="n">
        <v>51986</v>
      </c>
      <c r="N827" s="71" t="n">
        <v>51986</v>
      </c>
      <c r="O827" s="71" t="n">
        <v>51986</v>
      </c>
      <c r="P827" t="n">
        <v>13.74786585365854</v>
      </c>
      <c r="V827" t="n">
        <v>1</v>
      </c>
      <c r="W827" t="inlineStr">
        <is>
          <t>BALANCE TASAS</t>
        </is>
      </c>
      <c r="Y827" t="inlineStr">
        <is>
          <t>BALANCE TASAS</t>
        </is>
      </c>
      <c r="Z827" t="inlineStr">
        <is>
          <t>HTM</t>
        </is>
      </c>
      <c r="AA827" t="n">
        <v>1</v>
      </c>
    </row>
    <row r="828">
      <c r="A828" s="71" t="n">
        <v>45923</v>
      </c>
      <c r="B828" t="n">
        <v>1</v>
      </c>
      <c r="D828" t="inlineStr">
        <is>
          <t>PAS</t>
        </is>
      </c>
      <c r="E828" t="inlineStr">
        <is>
          <t>CLF</t>
        </is>
      </c>
      <c r="F828" t="inlineStr">
        <is>
          <t>CLF</t>
        </is>
      </c>
      <c r="H828" t="inlineStr">
        <is>
          <t>MT_CTA. AHORRO</t>
        </is>
      </c>
      <c r="I828" t="inlineStr">
        <is>
          <t>CTA. AHORRO G.INC_CORE_CORE</t>
        </is>
      </c>
      <c r="K828" t="n">
        <v>201</v>
      </c>
      <c r="M828" s="71" t="n">
        <v>52017</v>
      </c>
      <c r="N828" s="71" t="n">
        <v>52017</v>
      </c>
      <c r="O828" s="71" t="n">
        <v>52017</v>
      </c>
      <c r="P828" t="n">
        <v>13.74786585365854</v>
      </c>
      <c r="V828" t="n">
        <v>1</v>
      </c>
      <c r="W828" t="inlineStr">
        <is>
          <t>BALANCE TASAS</t>
        </is>
      </c>
      <c r="Y828" t="inlineStr">
        <is>
          <t>BALANCE TASAS</t>
        </is>
      </c>
      <c r="Z828" t="inlineStr">
        <is>
          <t>HTM</t>
        </is>
      </c>
      <c r="AA828" t="n">
        <v>1</v>
      </c>
    </row>
    <row r="829">
      <c r="A829" s="71" t="n">
        <v>45923</v>
      </c>
      <c r="B829" t="n">
        <v>1</v>
      </c>
      <c r="D829" t="inlineStr">
        <is>
          <t>PAS</t>
        </is>
      </c>
      <c r="E829" t="inlineStr">
        <is>
          <t>CLF</t>
        </is>
      </c>
      <c r="F829" t="inlineStr">
        <is>
          <t>CLF</t>
        </is>
      </c>
      <c r="H829" t="inlineStr">
        <is>
          <t>MT_CTA. AHORRO</t>
        </is>
      </c>
      <c r="I829" t="inlineStr">
        <is>
          <t>CTA. AHORRO G.INC_CORE_CORE</t>
        </is>
      </c>
      <c r="K829" t="n">
        <v>202</v>
      </c>
      <c r="M829" s="71" t="n">
        <v>52047</v>
      </c>
      <c r="N829" s="71" t="n">
        <v>52047</v>
      </c>
      <c r="O829" s="71" t="n">
        <v>52047</v>
      </c>
      <c r="P829" t="n">
        <v>13.74786585365854</v>
      </c>
      <c r="V829" t="n">
        <v>1</v>
      </c>
      <c r="W829" t="inlineStr">
        <is>
          <t>BALANCE TASAS</t>
        </is>
      </c>
      <c r="Y829" t="inlineStr">
        <is>
          <t>BALANCE TASAS</t>
        </is>
      </c>
      <c r="Z829" t="inlineStr">
        <is>
          <t>HTM</t>
        </is>
      </c>
      <c r="AA829" t="n">
        <v>1</v>
      </c>
    </row>
    <row r="830">
      <c r="A830" s="71" t="n">
        <v>45923</v>
      </c>
      <c r="B830" t="n">
        <v>1</v>
      </c>
      <c r="D830" t="inlineStr">
        <is>
          <t>PAS</t>
        </is>
      </c>
      <c r="E830" t="inlineStr">
        <is>
          <t>CLF</t>
        </is>
      </c>
      <c r="F830" t="inlineStr">
        <is>
          <t>CLF</t>
        </is>
      </c>
      <c r="H830" t="inlineStr">
        <is>
          <t>MT_CTA. AHORRO</t>
        </is>
      </c>
      <c r="I830" t="inlineStr">
        <is>
          <t>CTA. AHORRO G.INC_CORE_CORE</t>
        </is>
      </c>
      <c r="K830" t="n">
        <v>203</v>
      </c>
      <c r="M830" s="71" t="n">
        <v>52078</v>
      </c>
      <c r="N830" s="71" t="n">
        <v>52078</v>
      </c>
      <c r="O830" s="71" t="n">
        <v>52078</v>
      </c>
      <c r="P830" t="n">
        <v>13.74786585365854</v>
      </c>
      <c r="V830" t="n">
        <v>1</v>
      </c>
      <c r="W830" t="inlineStr">
        <is>
          <t>BALANCE TASAS</t>
        </is>
      </c>
      <c r="Y830" t="inlineStr">
        <is>
          <t>BALANCE TASAS</t>
        </is>
      </c>
      <c r="Z830" t="inlineStr">
        <is>
          <t>HTM</t>
        </is>
      </c>
      <c r="AA830" t="n">
        <v>1</v>
      </c>
    </row>
    <row r="831">
      <c r="A831" s="71" t="n">
        <v>45923</v>
      </c>
      <c r="B831" t="n">
        <v>1</v>
      </c>
      <c r="D831" t="inlineStr">
        <is>
          <t>PAS</t>
        </is>
      </c>
      <c r="E831" t="inlineStr">
        <is>
          <t>CLF</t>
        </is>
      </c>
      <c r="F831" t="inlineStr">
        <is>
          <t>CLF</t>
        </is>
      </c>
      <c r="H831" t="inlineStr">
        <is>
          <t>MT_CTA. AHORRO</t>
        </is>
      </c>
      <c r="I831" t="inlineStr">
        <is>
          <t>CTA. AHORRO G.INC_CORE_CORE</t>
        </is>
      </c>
      <c r="K831" t="n">
        <v>204</v>
      </c>
      <c r="M831" s="71" t="n">
        <v>52109</v>
      </c>
      <c r="N831" s="71" t="n">
        <v>52109</v>
      </c>
      <c r="O831" s="71" t="n">
        <v>52109</v>
      </c>
      <c r="P831" t="n">
        <v>13.74786585365854</v>
      </c>
      <c r="V831" t="n">
        <v>1</v>
      </c>
      <c r="W831" t="inlineStr">
        <is>
          <t>BALANCE TASAS</t>
        </is>
      </c>
      <c r="Y831" t="inlineStr">
        <is>
          <t>BALANCE TASAS</t>
        </is>
      </c>
      <c r="Z831" t="inlineStr">
        <is>
          <t>HTM</t>
        </is>
      </c>
      <c r="AA831" t="n">
        <v>1</v>
      </c>
    </row>
    <row r="832">
      <c r="A832" s="71" t="n">
        <v>45923</v>
      </c>
      <c r="B832" t="n">
        <v>1</v>
      </c>
      <c r="D832" t="inlineStr">
        <is>
          <t>PAS</t>
        </is>
      </c>
      <c r="E832" t="inlineStr">
        <is>
          <t>CLF</t>
        </is>
      </c>
      <c r="F832" t="inlineStr">
        <is>
          <t>CLF</t>
        </is>
      </c>
      <c r="H832" t="inlineStr">
        <is>
          <t>MT_CTA. AHORRO</t>
        </is>
      </c>
      <c r="I832" t="inlineStr">
        <is>
          <t>CTA. AHORRO G.INC_CORE_CORE</t>
        </is>
      </c>
      <c r="K832" t="n">
        <v>205</v>
      </c>
      <c r="M832" s="71" t="n">
        <v>52139</v>
      </c>
      <c r="N832" s="71" t="n">
        <v>52139</v>
      </c>
      <c r="O832" s="71" t="n">
        <v>52139</v>
      </c>
      <c r="P832" t="n">
        <v>13.74786585365854</v>
      </c>
      <c r="V832" t="n">
        <v>1</v>
      </c>
      <c r="W832" t="inlineStr">
        <is>
          <t>BALANCE TASAS</t>
        </is>
      </c>
      <c r="Y832" t="inlineStr">
        <is>
          <t>BALANCE TASAS</t>
        </is>
      </c>
      <c r="Z832" t="inlineStr">
        <is>
          <t>HTM</t>
        </is>
      </c>
      <c r="AA832" t="n">
        <v>1</v>
      </c>
    </row>
    <row r="833">
      <c r="A833" s="71" t="n">
        <v>45923</v>
      </c>
      <c r="B833" t="n">
        <v>1</v>
      </c>
      <c r="D833" t="inlineStr">
        <is>
          <t>PAS</t>
        </is>
      </c>
      <c r="E833" t="inlineStr">
        <is>
          <t>CLF</t>
        </is>
      </c>
      <c r="F833" t="inlineStr">
        <is>
          <t>CLF</t>
        </is>
      </c>
      <c r="H833" t="inlineStr">
        <is>
          <t>MT_CTA. AHORRO</t>
        </is>
      </c>
      <c r="I833" t="inlineStr">
        <is>
          <t>CTA. AHORRO G.INC</t>
        </is>
      </c>
      <c r="M833" s="71" t="n">
        <v>45924</v>
      </c>
      <c r="N833" s="71" t="n">
        <v>45924</v>
      </c>
      <c r="O833" s="71" t="n">
        <v>45924</v>
      </c>
      <c r="P833" t="n">
        <v>43068.52522372059</v>
      </c>
      <c r="V833" t="n">
        <v>1</v>
      </c>
      <c r="W833" t="inlineStr">
        <is>
          <t>BALANCE TASAS</t>
        </is>
      </c>
      <c r="Y833" t="inlineStr">
        <is>
          <t>BALANCE TASAS</t>
        </is>
      </c>
      <c r="Z833" t="inlineStr">
        <is>
          <t>HTM</t>
        </is>
      </c>
      <c r="AA833" t="n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L29"/>
  <sheetViews>
    <sheetView zoomScale="220" zoomScaleNormal="220" workbookViewId="0">
      <selection activeCell="G24" sqref="G24"/>
    </sheetView>
  </sheetViews>
  <sheetFormatPr baseColWidth="10" defaultRowHeight="14.5"/>
  <cols>
    <col width="45.26953125" bestFit="1" customWidth="1" min="1" max="2"/>
    <col width="16.81640625" bestFit="1" customWidth="1" min="3" max="5"/>
    <col width="16.6328125" bestFit="1" customWidth="1" min="6" max="6"/>
    <col width="21.6328125" bestFit="1" customWidth="1" min="7" max="7"/>
  </cols>
  <sheetData>
    <row r="1">
      <c r="A1" t="inlineStr">
        <is>
          <t>CODIGO_PRODUCTO</t>
        </is>
      </c>
      <c r="B1" t="inlineStr">
        <is>
          <t>COD_SUB_PRO</t>
        </is>
      </c>
      <c r="C1" t="inlineStr">
        <is>
          <t>FLUJO_MO</t>
        </is>
      </c>
      <c r="D1" t="inlineStr">
        <is>
          <t>PMP</t>
        </is>
      </c>
      <c r="E1" t="inlineStr">
        <is>
          <t>MIN_FECHA_PAGO</t>
        </is>
      </c>
      <c r="F1" t="inlineStr">
        <is>
          <t>MAX_FECHA_PAGO</t>
        </is>
      </c>
      <c r="G1" t="inlineStr">
        <is>
          <t>COD_SUB_PRO_MODELO</t>
        </is>
      </c>
      <c r="H1" t="inlineStr">
        <is>
          <t>MONTO_CORE_GESTION_MO</t>
        </is>
      </c>
      <c r="I1" t="inlineStr">
        <is>
          <t>MONEDA</t>
        </is>
      </c>
      <c r="J1" t="inlineStr">
        <is>
          <t>AMORTIZACION_MO</t>
        </is>
      </c>
      <c r="K1" t="inlineStr">
        <is>
          <t>INTERES_MO</t>
        </is>
      </c>
      <c r="L1" t="inlineStr">
        <is>
          <t>MONTO_CORE_R13_MO</t>
        </is>
      </c>
    </row>
    <row r="2">
      <c r="A2" t="inlineStr">
        <is>
          <t>MDL_MT_R13_CTA. CORRIENTE</t>
        </is>
      </c>
      <c r="B2" t="inlineStr">
        <is>
          <t>MDL_MT_R13_CTA. CORRIENTE PERSONAS_CORE</t>
        </is>
      </c>
      <c r="C2" t="n">
        <v>930870422516.3002</v>
      </c>
      <c r="D2" t="n">
        <v>4.4215235</v>
      </c>
      <c r="E2" s="72" t="n">
        <v>45930</v>
      </c>
      <c r="F2" s="72" t="n">
        <v>48152</v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</row>
    <row r="3">
      <c r="A3" t="inlineStr">
        <is>
          <t>MDL_MT_R13_CTA. CORRIENTE</t>
        </is>
      </c>
      <c r="B3" t="inlineStr">
        <is>
          <t>MDL_MT_R13_CTA. CORRIENTE PERSONAS_NONCORE</t>
        </is>
      </c>
      <c r="C3" t="n">
        <v>398944466792.7001</v>
      </c>
      <c r="D3" t="n">
        <v>0</v>
      </c>
      <c r="E3" s="72" t="n">
        <v>45924</v>
      </c>
      <c r="F3" s="72" t="n">
        <v>45924</v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</row>
    <row r="4">
      <c r="A4" t="inlineStr">
        <is>
          <t>MDL_MT_R13_CTA. CORRIENTE PERSONAS_CORE</t>
        </is>
      </c>
      <c r="B4" t="inlineStr">
        <is>
          <t>MDL_MT_R13_CTA. CORRIENTE PERSONAS_CORE</t>
        </is>
      </c>
      <c r="C4" t="n">
        <v>930870422516.2999</v>
      </c>
      <c r="D4" t="n">
        <v>0</v>
      </c>
      <c r="E4" s="72" t="n">
        <v>45924</v>
      </c>
      <c r="F4" s="72" t="n">
        <v>45924</v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</row>
    <row r="5">
      <c r="A5" t="inlineStr">
        <is>
          <t>MDL_MT_R13_CTA. CORRIENTE PERSONAS_NONCORE</t>
        </is>
      </c>
      <c r="B5" t="inlineStr">
        <is>
          <t>MDL_MT_R13_CTA. CORRIENTE PERSONAS_NONCORE</t>
        </is>
      </c>
      <c r="C5" t="n">
        <v>398944466792.7001</v>
      </c>
      <c r="D5" t="n">
        <v>0</v>
      </c>
      <c r="E5" s="72" t="n">
        <v>45924</v>
      </c>
      <c r="F5" s="72" t="n">
        <v>45924</v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</row>
    <row r="6">
      <c r="A6" t="inlineStr">
        <is>
          <t>MDL_MT_R13_CTA. VISTA</t>
        </is>
      </c>
      <c r="B6" t="inlineStr">
        <is>
          <t>MDL_MT_R13_CTA. VISTA_CORE</t>
        </is>
      </c>
      <c r="C6" t="n">
        <v>108377379629.4</v>
      </c>
      <c r="D6" t="n">
        <v>4.402238</v>
      </c>
      <c r="E6" s="72" t="n">
        <v>45930</v>
      </c>
      <c r="F6" s="72" t="n">
        <v>49187</v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</row>
    <row r="7">
      <c r="A7" t="inlineStr">
        <is>
          <t>MDL_MT_R13_CTA. VISTA</t>
        </is>
      </c>
      <c r="B7" t="inlineStr">
        <is>
          <t>MDL_MT_R13_CTA. VISTA_NONCORE</t>
        </is>
      </c>
      <c r="C7" t="n">
        <v>46447448412.60001</v>
      </c>
      <c r="D7" t="n">
        <v>0</v>
      </c>
      <c r="E7" s="72" t="n">
        <v>45924</v>
      </c>
      <c r="F7" s="72" t="n">
        <v>45924</v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</row>
    <row r="8">
      <c r="A8" t="inlineStr">
        <is>
          <t>MDL_MT_R13_CTA. VISTA_CORE</t>
        </is>
      </c>
      <c r="B8" t="inlineStr">
        <is>
          <t>MDL_MT_R13_CTA. VISTA_CORE</t>
        </is>
      </c>
      <c r="C8" t="n">
        <v>108377379629.4</v>
      </c>
      <c r="D8" t="n">
        <v>0</v>
      </c>
      <c r="E8" s="72" t="n">
        <v>45924</v>
      </c>
      <c r="F8" s="72" t="n">
        <v>45924</v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</row>
    <row r="9">
      <c r="A9" t="inlineStr">
        <is>
          <t>MDL_MT_R13_CTA. VISTA_NONCORE</t>
        </is>
      </c>
      <c r="B9" t="inlineStr">
        <is>
          <t>MDL_MT_R13_CTA. VISTA_NONCORE</t>
        </is>
      </c>
      <c r="C9" t="n">
        <v>46447448412.60001</v>
      </c>
      <c r="D9" t="n">
        <v>0</v>
      </c>
      <c r="E9" s="72" t="n">
        <v>45924</v>
      </c>
      <c r="F9" s="72" t="n">
        <v>45924</v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</row>
    <row r="10">
      <c r="A10" t="inlineStr">
        <is>
          <t>MDL_MT_R13_CTA. AHORRO</t>
        </is>
      </c>
      <c r="B10" t="inlineStr">
        <is>
          <t>MDL_MT_R13_CTA. AHORRO G.DIF_CORE</t>
        </is>
      </c>
      <c r="C10" t="n">
        <v>3131536.884994928</v>
      </c>
      <c r="D10" t="n">
        <v>4.374301583333333</v>
      </c>
      <c r="E10" s="72" t="n">
        <v>45930</v>
      </c>
      <c r="F10" s="72" t="n">
        <v>48029</v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</row>
    <row r="11">
      <c r="A11" t="inlineStr">
        <is>
          <t>MDL_MT_R13_CTA. AHORRO</t>
        </is>
      </c>
      <c r="B11" t="inlineStr">
        <is>
          <t>MDL_MT_R13_CTA. AHORRO G.DIF_NONCORE</t>
        </is>
      </c>
      <c r="C11" t="n">
        <v>1342087.236426398</v>
      </c>
      <c r="D11" t="n">
        <v>0</v>
      </c>
      <c r="E11" s="72" t="n">
        <v>45924</v>
      </c>
      <c r="F11" s="72" t="n">
        <v>45924</v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</row>
    <row r="12">
      <c r="A12" t="inlineStr">
        <is>
          <t>MDL_MT_R13_CTA. AHORRO</t>
        </is>
      </c>
      <c r="B12" t="inlineStr">
        <is>
          <t>MDL_MT_R13_CTA. AHORRO G.INC_CORE</t>
        </is>
      </c>
      <c r="C12" t="n">
        <v>768773.9676566044</v>
      </c>
      <c r="D12" t="n">
        <v>4.360801916666666</v>
      </c>
      <c r="E12" s="72" t="n">
        <v>45930</v>
      </c>
      <c r="F12" s="72" t="n">
        <v>48029</v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</row>
    <row r="13">
      <c r="A13" t="inlineStr">
        <is>
          <t>MDL_MT_R13_CTA. AHORRO</t>
        </is>
      </c>
      <c r="B13" t="inlineStr">
        <is>
          <t>MDL_MT_R13_CTA. AHORRO G.INC_NONCORE</t>
        </is>
      </c>
      <c r="C13" t="n">
        <v>329474.5575671161</v>
      </c>
      <c r="D13" t="n">
        <v>0</v>
      </c>
      <c r="E13" s="72" t="n">
        <v>45924</v>
      </c>
      <c r="F13" s="72" t="n">
        <v>45924</v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</row>
    <row r="14">
      <c r="A14" t="inlineStr">
        <is>
          <t>MDL_MT_R13_CTA. AHORRO G.DIF_CORE</t>
        </is>
      </c>
      <c r="B14" t="inlineStr">
        <is>
          <t>MDL_MT_R13_CTA. AHORRO G.DIF_CORE</t>
        </is>
      </c>
      <c r="C14" t="n">
        <v>3131536.884994929</v>
      </c>
      <c r="D14" t="n">
        <v>0</v>
      </c>
      <c r="E14" s="72" t="n">
        <v>45924</v>
      </c>
      <c r="F14" s="72" t="n">
        <v>45924</v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</row>
    <row r="15">
      <c r="A15" t="inlineStr">
        <is>
          <t>MDL_MT_R13_CTA. AHORRO G.DIF_NONCORE</t>
        </is>
      </c>
      <c r="B15" t="inlineStr">
        <is>
          <t>MDL_MT_R13_CTA. AHORRO G.DIF_NONCORE</t>
        </is>
      </c>
      <c r="C15" t="n">
        <v>1342087.236426398</v>
      </c>
      <c r="D15" t="n">
        <v>0</v>
      </c>
      <c r="E15" s="72" t="n">
        <v>45924</v>
      </c>
      <c r="F15" s="72" t="n">
        <v>45924</v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</row>
    <row r="16">
      <c r="A16" t="inlineStr">
        <is>
          <t>MDL_MT_R13_CTA. AHORRO G.INC_CORE</t>
        </is>
      </c>
      <c r="B16" t="inlineStr">
        <is>
          <t>MDL_MT_R13_CTA. AHORRO G.INC_CORE</t>
        </is>
      </c>
      <c r="C16" t="n">
        <v>768773.9676566042</v>
      </c>
      <c r="D16" t="n">
        <v>0</v>
      </c>
      <c r="E16" s="72" t="n">
        <v>45924</v>
      </c>
      <c r="F16" s="72" t="n">
        <v>45924</v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</row>
    <row r="17">
      <c r="A17" t="inlineStr">
        <is>
          <t>MDL_MT_R13_CTA. AHORRO G.INC_NONCORE</t>
        </is>
      </c>
      <c r="B17" t="inlineStr">
        <is>
          <t>MDL_MT_R13_CTA. AHORRO G.INC_NONCORE</t>
        </is>
      </c>
      <c r="C17" t="n">
        <v>329474.5575671161</v>
      </c>
      <c r="D17" t="n">
        <v>0</v>
      </c>
      <c r="E17" s="72" t="n">
        <v>45924</v>
      </c>
      <c r="F17" s="72" t="n">
        <v>45924</v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</row>
    <row r="18">
      <c r="A18" t="inlineStr">
        <is>
          <t>MDL_MT_CTA. CORRIENTE</t>
        </is>
      </c>
      <c r="B18" t="inlineStr">
        <is>
          <t>MDL_CTA. CORRIENTE PERSONAS_CORE_CORE</t>
        </is>
      </c>
      <c r="C18" t="n">
        <v>1166765000000</v>
      </c>
      <c r="D18" t="n">
        <v>1.44640830903076</v>
      </c>
      <c r="E18" s="72" t="n">
        <v>45930</v>
      </c>
      <c r="F18" s="72" t="n">
        <v>47177</v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</row>
    <row r="19">
      <c r="A19" t="inlineStr">
        <is>
          <t>MDL_MT_CTA. CORRIENTE</t>
        </is>
      </c>
      <c r="B19" t="inlineStr">
        <is>
          <t>MDL_CTA. CORRIENTE PERSONAS</t>
        </is>
      </c>
      <c r="C19" t="n">
        <v>163049889308.9998</v>
      </c>
      <c r="D19" t="n">
        <v>0</v>
      </c>
      <c r="E19" s="72" t="n">
        <v>45924</v>
      </c>
      <c r="F19" s="72" t="n">
        <v>45924</v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</row>
    <row r="20">
      <c r="A20" t="inlineStr">
        <is>
          <t>MDL_MT.CTA. VISTA</t>
        </is>
      </c>
      <c r="B20" t="inlineStr">
        <is>
          <t>MDL_CTA. VISTA_CORE_CORE</t>
        </is>
      </c>
      <c r="C20" t="n">
        <v>125122000000</v>
      </c>
      <c r="D20" t="n">
        <v>1.438241515496562</v>
      </c>
      <c r="E20" s="72" t="n">
        <v>45930</v>
      </c>
      <c r="F20" s="72" t="n">
        <v>47177</v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</row>
    <row r="21">
      <c r="A21" t="inlineStr">
        <is>
          <t>MDL_MT.CTA. VISTA</t>
        </is>
      </c>
      <c r="B21" t="inlineStr">
        <is>
          <t>MDL_CTA. VISTA</t>
        </is>
      </c>
      <c r="C21" t="n">
        <v>29702828042</v>
      </c>
      <c r="D21" t="n">
        <v>0</v>
      </c>
      <c r="E21" s="72" t="n">
        <v>45924</v>
      </c>
      <c r="F21" s="72" t="n">
        <v>45924</v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</row>
    <row r="22">
      <c r="A22" t="inlineStr">
        <is>
          <t>MDL_MT_CTA. AHORRO</t>
        </is>
      </c>
      <c r="B22" t="inlineStr">
        <is>
          <t>MDL_CTA. AHORRO G.DIF_CORE_CORE</t>
        </is>
      </c>
      <c r="C22" t="n">
        <v>3344784</v>
      </c>
      <c r="D22" t="n">
        <v>5.546376529143959</v>
      </c>
      <c r="E22" s="72" t="n">
        <v>45930</v>
      </c>
      <c r="F22" s="72" t="n">
        <v>52139</v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</row>
    <row r="23">
      <c r="A23" t="inlineStr">
        <is>
          <t>MDL_MT_CTA. AHORRO</t>
        </is>
      </c>
      <c r="B23" t="inlineStr">
        <is>
          <t>MDL_CTA. AHORRO G.DIF</t>
        </is>
      </c>
      <c r="C23" t="n">
        <v>1128840.121421327</v>
      </c>
      <c r="D23" t="n">
        <v>0</v>
      </c>
      <c r="E23" s="72" t="n">
        <v>45924</v>
      </c>
      <c r="F23" s="72" t="n">
        <v>45924</v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</row>
    <row r="24">
      <c r="A24" t="inlineStr">
        <is>
          <t>MDL_MT_CTA. AHORRO</t>
        </is>
      </c>
      <c r="B24" t="inlineStr">
        <is>
          <t>MDL_CTA. AHORRO G.INC_CORE_CORE</t>
        </is>
      </c>
      <c r="C24" t="n">
        <v>1055180</v>
      </c>
      <c r="D24" t="n">
        <v>5.342013857627768</v>
      </c>
      <c r="E24" s="72" t="n">
        <v>45930</v>
      </c>
      <c r="F24" s="72" t="n">
        <v>52139</v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</row>
    <row r="25" ht="15" customHeight="1" thickBot="1">
      <c r="A25" t="inlineStr">
        <is>
          <t>MDL_MT_CTA. AHORRO</t>
        </is>
      </c>
      <c r="B25" t="inlineStr">
        <is>
          <t>MDL_CTA. AHORRO G.INC</t>
        </is>
      </c>
      <c r="C25" t="n">
        <v>43068.52522372059</v>
      </c>
      <c r="D25" t="n">
        <v>0</v>
      </c>
      <c r="E25" s="72" t="n">
        <v>45924</v>
      </c>
      <c r="F25" s="72" t="n">
        <v>45924</v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</row>
    <row r="26">
      <c r="A26" t="n">
        <v/>
      </c>
      <c r="B26" t="n">
        <v/>
      </c>
      <c r="C26" t="n">
        <v>1329814889309</v>
      </c>
      <c r="D26" t="n">
        <v/>
      </c>
      <c r="E26" s="72" t="n"/>
      <c r="F26" s="72" t="n"/>
      <c r="G26" t="inlineStr">
        <is>
          <t>INPT_CTA_CTE</t>
        </is>
      </c>
      <c r="H26" t="n">
        <v>1166765000000</v>
      </c>
      <c r="I26" t="inlineStr">
        <is>
          <t>CLP</t>
        </is>
      </c>
      <c r="J26" t="n">
        <v>1329814889309</v>
      </c>
      <c r="K26" t="n">
        <v>0</v>
      </c>
      <c r="L26" t="n">
        <v>930870422516.2999</v>
      </c>
    </row>
    <row r="27">
      <c r="A27" t="n">
        <v/>
      </c>
      <c r="B27" t="n">
        <v/>
      </c>
      <c r="C27" t="n">
        <v>154824828042</v>
      </c>
      <c r="D27" t="n">
        <v/>
      </c>
      <c r="E27" s="72" t="n"/>
      <c r="F27" s="72" t="n"/>
      <c r="G27" t="inlineStr">
        <is>
          <t>INPT_CTA_VTA</t>
        </is>
      </c>
      <c r="H27" t="n">
        <v>125122000000</v>
      </c>
      <c r="I27" t="inlineStr">
        <is>
          <t>CLP</t>
        </is>
      </c>
      <c r="J27" t="n">
        <v>154824828042</v>
      </c>
      <c r="K27" t="n">
        <v>0</v>
      </c>
      <c r="L27" t="n">
        <v>108377379629.4</v>
      </c>
    </row>
    <row r="28">
      <c r="A28" t="n">
        <v/>
      </c>
      <c r="B28" t="n">
        <v/>
      </c>
      <c r="C28" t="n">
        <v>4473624.121421327</v>
      </c>
      <c r="D28" t="n">
        <v/>
      </c>
      <c r="E28" s="72" t="n"/>
      <c r="F28" s="72" t="n"/>
      <c r="G28" t="inlineStr">
        <is>
          <t>INPT_AGD</t>
        </is>
      </c>
      <c r="H28" t="n">
        <v>3344784</v>
      </c>
      <c r="I28" t="inlineStr">
        <is>
          <t>CLF</t>
        </is>
      </c>
      <c r="J28" t="n">
        <v>4473624.121421327</v>
      </c>
      <c r="K28" t="n">
        <v>0</v>
      </c>
      <c r="L28" t="n">
        <v>3131536.884994929</v>
      </c>
    </row>
    <row r="29">
      <c r="A29" t="n">
        <v/>
      </c>
      <c r="B29" t="n">
        <v/>
      </c>
      <c r="C29" t="n">
        <v>1098248.52522372</v>
      </c>
      <c r="D29" t="n">
        <v/>
      </c>
      <c r="E29" s="72" t="n"/>
      <c r="F29" s="72" t="n"/>
      <c r="G29" t="inlineStr">
        <is>
          <t>INPT_AGI</t>
        </is>
      </c>
      <c r="H29" t="n">
        <v>1055180</v>
      </c>
      <c r="I29" t="inlineStr">
        <is>
          <t>CLF</t>
        </is>
      </c>
      <c r="J29" t="n">
        <v>1098248.52522372</v>
      </c>
      <c r="K29" t="n">
        <v>0</v>
      </c>
      <c r="L29" t="n">
        <v>768773.9676566042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AB208"/>
  <sheetViews>
    <sheetView tabSelected="1" topLeftCell="K14" zoomScale="115" zoomScaleNormal="115" workbookViewId="0">
      <selection activeCell="N26" sqref="N26"/>
    </sheetView>
  </sheetViews>
  <sheetFormatPr baseColWidth="10" defaultRowHeight="14.5"/>
  <cols>
    <col width="10.90625" customWidth="1" style="4" min="1" max="1"/>
    <col width="21.81640625" bestFit="1" customWidth="1" min="2" max="2"/>
    <col width="21.26953125" bestFit="1" customWidth="1" min="3" max="3"/>
    <col width="15.90625" bestFit="1" customWidth="1" min="4" max="4"/>
    <col width="18.6328125" bestFit="1" customWidth="1" min="5" max="5"/>
    <col width="20.1796875" bestFit="1" customWidth="1" min="6" max="6"/>
    <col width="22.90625" bestFit="1" customWidth="1" min="7" max="7"/>
    <col width="17.54296875" bestFit="1" customWidth="1" min="8" max="8"/>
    <col width="17.453125" customWidth="1" min="9" max="12"/>
    <col width="12" bestFit="1" customWidth="1" min="13" max="13"/>
    <col width="36.36328125" bestFit="1" customWidth="1" min="14" max="14"/>
    <col width="23" bestFit="1" customWidth="1" min="15" max="15"/>
    <col width="39.08984375" bestFit="1" customWidth="1" min="16" max="16"/>
    <col width="25.54296875" bestFit="1" customWidth="1" min="17" max="17"/>
    <col width="23.1796875" bestFit="1" customWidth="1" min="18" max="18"/>
    <col width="22.90625" bestFit="1" customWidth="1" min="19" max="19"/>
    <col width="27.6328125" bestFit="1" customWidth="1" min="20" max="20"/>
    <col width="10.6328125" bestFit="1" customWidth="1" min="21" max="21"/>
    <col width="12" bestFit="1" customWidth="1" min="22" max="22"/>
    <col width="17.36328125" bestFit="1" customWidth="1" min="24" max="24"/>
    <col width="19.6328125" customWidth="1" min="25" max="25"/>
    <col width="25.54296875" bestFit="1" customWidth="1" min="26" max="26"/>
    <col width="20.08984375" bestFit="1" customWidth="1" min="27" max="27"/>
    <col width="22.90625" bestFit="1" customWidth="1" min="28" max="28"/>
  </cols>
  <sheetData>
    <row r="1" ht="15" customHeight="1" thickBot="1">
      <c r="B1" s="2" t="inlineStr">
        <is>
          <t>Suma de AMORTIZACION</t>
        </is>
      </c>
      <c r="C1" s="2" t="inlineStr">
        <is>
          <t>Etiquetas de columna</t>
        </is>
      </c>
    </row>
    <row r="2" ht="15" customHeight="1" thickBot="1">
      <c r="A2" s="4">
        <f>DESARROLLO!$A$2</f>
        <v/>
      </c>
      <c r="B2" s="2" t="inlineStr">
        <is>
          <t>Etiquetas de fila</t>
        </is>
      </c>
      <c r="C2" t="inlineStr">
        <is>
          <t>MT.CTA. VISTA</t>
        </is>
      </c>
      <c r="D2" t="inlineStr">
        <is>
          <t>MT_CTA. AHORRO</t>
        </is>
      </c>
      <c r="E2" t="inlineStr">
        <is>
          <t>MT_CTA. CORRIENTE</t>
        </is>
      </c>
      <c r="F2" t="inlineStr">
        <is>
          <t>MT_R13_CTA. AHORRO</t>
        </is>
      </c>
      <c r="G2" t="inlineStr">
        <is>
          <t>MT_R13_CTA. CORRIENTE</t>
        </is>
      </c>
      <c r="H2" t="inlineStr">
        <is>
          <t>MT_R13_CTA. VISTA</t>
        </is>
      </c>
      <c r="P2" s="19">
        <f>$A$2</f>
        <v/>
      </c>
      <c r="Q2" s="6" t="n"/>
      <c r="R2" s="7" t="n"/>
      <c r="S2" s="8" t="n"/>
      <c r="Y2" s="19" t="n">
        <v>45923</v>
      </c>
      <c r="Z2" s="6" t="n"/>
      <c r="AA2" s="7" t="n"/>
      <c r="AB2" s="8" t="n"/>
    </row>
    <row r="3" ht="24" customHeight="1" thickBot="1">
      <c r="A3" s="51">
        <f>B3-$A$2</f>
        <v/>
      </c>
      <c r="B3" s="3" t="n">
        <v>45924</v>
      </c>
      <c r="C3" s="54" t="n">
        <v>29702828042</v>
      </c>
      <c r="D3" s="54" t="n">
        <v>1171908.646645048</v>
      </c>
      <c r="E3" s="54" t="n">
        <v>163049889308.9998</v>
      </c>
      <c r="F3" s="54" t="n">
        <v>1671561.793993514</v>
      </c>
      <c r="G3" s="54" t="n">
        <v>398944466792.7001</v>
      </c>
      <c r="H3" s="54" t="n">
        <v>46447448412.60001</v>
      </c>
      <c r="P3" s="9" t="inlineStr">
        <is>
          <t>banda</t>
        </is>
      </c>
      <c r="Q3" s="55" t="inlineStr">
        <is>
          <t>Amortizacion + Intereses</t>
        </is>
      </c>
      <c r="R3" s="55" t="inlineStr">
        <is>
          <t>Amortizacion + Intereses</t>
        </is>
      </c>
      <c r="S3" s="56" t="inlineStr">
        <is>
          <t>Amortizacion + Intereses</t>
        </is>
      </c>
      <c r="Y3" s="9" t="inlineStr">
        <is>
          <t>banda</t>
        </is>
      </c>
      <c r="Z3" s="55" t="inlineStr">
        <is>
          <t>Amortizacion + Intereses</t>
        </is>
      </c>
      <c r="AA3" s="55" t="inlineStr">
        <is>
          <t>Amortizacion + Intereses</t>
        </is>
      </c>
      <c r="AB3" s="56" t="inlineStr">
        <is>
          <t>Amortizacion + Intereses</t>
        </is>
      </c>
    </row>
    <row r="4" ht="19.5" customHeight="1" thickBot="1">
      <c r="A4" s="51">
        <f>B4-$A$2</f>
        <v/>
      </c>
      <c r="B4" s="3" t="n">
        <v>45930</v>
      </c>
      <c r="C4" s="54" t="n">
        <v>3744831372.54902</v>
      </c>
      <c r="D4" s="54" t="n">
        <v>33980.05716463415</v>
      </c>
      <c r="E4" s="54" t="n">
        <v>34755623249.29972</v>
      </c>
      <c r="F4" s="54" t="n">
        <v>34247.50077684574</v>
      </c>
      <c r="G4" s="54" t="n">
        <v>8985692188.549843</v>
      </c>
      <c r="H4" s="54" t="n">
        <v>1666844098.700172</v>
      </c>
      <c r="N4" s="22" t="inlineStr">
        <is>
          <t>LIM_INF</t>
        </is>
      </c>
      <c r="O4" s="23" t="inlineStr">
        <is>
          <t>LIM_SUP</t>
        </is>
      </c>
      <c r="P4" s="12" t="inlineStr">
        <is>
          <t>banda</t>
        </is>
      </c>
      <c r="Q4" s="57" t="inlineStr">
        <is>
          <t>MT_R13_CTA. CORRIENTE</t>
        </is>
      </c>
      <c r="R4" s="58" t="inlineStr">
        <is>
          <t>MT_R13_CTA. VISTA</t>
        </is>
      </c>
      <c r="S4" s="57" t="inlineStr">
        <is>
          <t>MT_R13_CTA. AHORRO</t>
        </is>
      </c>
      <c r="Y4" s="12" t="inlineStr">
        <is>
          <t>banda</t>
        </is>
      </c>
      <c r="Z4" s="57" t="inlineStr">
        <is>
          <t>MT_R13_CTA. CORRIENTE</t>
        </is>
      </c>
      <c r="AA4" s="58" t="inlineStr">
        <is>
          <t>MT_R13_CTA. VISTA</t>
        </is>
      </c>
      <c r="AB4" s="57" t="inlineStr">
        <is>
          <t>MT_R13_CTA. AHORRO</t>
        </is>
      </c>
    </row>
    <row r="5" ht="15" customHeight="1" thickBot="1">
      <c r="A5" s="51">
        <f>B5-$A$2</f>
        <v/>
      </c>
      <c r="B5" s="3" t="n">
        <v>45961</v>
      </c>
      <c r="C5" s="54" t="n">
        <v>3744831372.54902</v>
      </c>
      <c r="D5" s="54" t="n">
        <v>33980.05716463415</v>
      </c>
      <c r="E5" s="54" t="n">
        <v>34755623249.29972</v>
      </c>
      <c r="F5" s="54" t="n">
        <v>33948.77083014126</v>
      </c>
      <c r="G5" s="54" t="n">
        <v>8899121239.255829</v>
      </c>
      <c r="H5" s="54" t="n">
        <v>1641267037.107633</v>
      </c>
      <c r="N5" s="24" t="n">
        <v>0</v>
      </c>
      <c r="O5" s="25" t="n">
        <v>1</v>
      </c>
      <c r="P5" s="16" t="inlineStr">
        <is>
          <t>01</t>
        </is>
      </c>
      <c r="Q5" s="59">
        <f>SUMIFS($G$3:G$1996,$A$3:$A$1996,"&gt;"&amp;N5,$A$3:$A$1996,"&lt;="&amp;O5)</f>
        <v/>
      </c>
      <c r="R5" s="59">
        <f>SUMIFS($H$3:H$1996,$A$3:$A$1996,"&gt;"&amp;N5,$A$3:$A$1996,"&lt;="&amp;O5)</f>
        <v/>
      </c>
      <c r="S5" s="60">
        <f>SUMIFS($F$3:F$1996,$A$3:$A$1996,"&gt;"&amp;N5,$A$3:$A$1996,"&lt;="&amp;O5)</f>
        <v/>
      </c>
      <c r="Y5" s="16" t="inlineStr">
        <is>
          <t>01</t>
        </is>
      </c>
      <c r="Z5" s="59" t="n">
        <v>403458783980</v>
      </c>
      <c r="AA5" s="59" t="n">
        <v>46986181780</v>
      </c>
      <c r="AB5" s="60" t="n">
        <v>1672585</v>
      </c>
    </row>
    <row r="6" ht="15" customHeight="1" thickBot="1">
      <c r="A6" s="51">
        <f>B6-$A$2</f>
        <v/>
      </c>
      <c r="B6" s="3" t="n">
        <v>45991</v>
      </c>
      <c r="C6" s="54" t="n">
        <v>3744831372.54902</v>
      </c>
      <c r="D6" s="54" t="n">
        <v>33980.05716463415</v>
      </c>
      <c r="E6" s="54" t="n">
        <v>34755623249.29972</v>
      </c>
      <c r="F6" s="54" t="n">
        <v>33650.80965740442</v>
      </c>
      <c r="G6" s="54" t="n">
        <v>8813481160.384329</v>
      </c>
      <c r="H6" s="54" t="n">
        <v>1616015107.653983</v>
      </c>
      <c r="N6" s="24" t="n">
        <v>1</v>
      </c>
      <c r="O6" s="25" t="n">
        <v>30</v>
      </c>
      <c r="P6" s="16" t="inlineStr">
        <is>
          <t>02</t>
        </is>
      </c>
      <c r="Q6" s="59">
        <f>SUMIFS($G$3:G$1996,$A$3:$A$1996,"&gt;"&amp;N6,$A$3:$A$1996,"&lt;="&amp;O6)</f>
        <v/>
      </c>
      <c r="R6" s="59">
        <f>SUMIFS($H$3:H$1996,$A$3:$A$1996,"&gt;"&amp;N6,$A$3:$A$1996,"&lt;="&amp;O6)</f>
        <v/>
      </c>
      <c r="S6" s="60">
        <f>SUMIFS($F$3:F$1996,$A$3:$A$1996,"&gt;"&amp;N6,$A$3:$A$1996,"&lt;="&amp;O6)</f>
        <v/>
      </c>
      <c r="Y6" s="16" t="inlineStr">
        <is>
          <t>02</t>
        </is>
      </c>
      <c r="Z6" s="59" t="n">
        <v>9087471653</v>
      </c>
      <c r="AA6" s="59" t="n">
        <v>1686231520</v>
      </c>
      <c r="AB6" s="60" t="n">
        <v>34269</v>
      </c>
    </row>
    <row r="7" ht="15" customHeight="1" thickBot="1">
      <c r="A7" s="51">
        <f>B7-$A$2</f>
        <v/>
      </c>
      <c r="B7" s="3" t="n">
        <v>46022</v>
      </c>
      <c r="C7" s="54" t="n">
        <v>3744831372.54902</v>
      </c>
      <c r="D7" s="54" t="n">
        <v>33980.05716463415</v>
      </c>
      <c r="E7" s="54" t="n">
        <v>34755623249.29972</v>
      </c>
      <c r="F7" s="54" t="n">
        <v>33353.61725863525</v>
      </c>
      <c r="G7" s="54" t="n">
        <v>8727841081.512829</v>
      </c>
      <c r="H7" s="54" t="n">
        <v>1591196687.718851</v>
      </c>
      <c r="N7" s="24" t="n">
        <v>30</v>
      </c>
      <c r="O7" s="25" t="n">
        <v>90</v>
      </c>
      <c r="P7" s="16" t="inlineStr">
        <is>
          <t>03</t>
        </is>
      </c>
      <c r="Q7" s="59">
        <f>SUMIFS($G$3:G$1996,$A$3:$A$1996,"&gt;"&amp;N7,$A$3:$A$1996,"&lt;="&amp;O7)</f>
        <v/>
      </c>
      <c r="R7" s="59">
        <f>SUMIFS($H$3:H$1996,$A$3:$A$1996,"&gt;"&amp;N7,$A$3:$A$1996,"&lt;="&amp;O7)</f>
        <v/>
      </c>
      <c r="S7" s="60">
        <f>SUMIFS($F$3:F$1996,$A$3:$A$1996,"&gt;"&amp;N7,$A$3:$A$1996,"&lt;="&amp;O7)</f>
        <v/>
      </c>
      <c r="Y7" s="16" t="inlineStr">
        <is>
          <t>03</t>
        </is>
      </c>
      <c r="Z7" s="59" t="n">
        <v>17912623098</v>
      </c>
      <c r="AA7" s="59" t="n">
        <v>3295056718</v>
      </c>
      <c r="AB7" s="60" t="n">
        <v>67638</v>
      </c>
    </row>
    <row r="8" ht="15" customHeight="1" thickBot="1">
      <c r="A8" s="51">
        <f>B8-$A$2</f>
        <v/>
      </c>
      <c r="B8" s="3" t="n">
        <v>46053</v>
      </c>
      <c r="C8" s="54" t="n">
        <v>3744831372.54902</v>
      </c>
      <c r="D8" s="54" t="n">
        <v>33980.05716463415</v>
      </c>
      <c r="E8" s="54" t="n">
        <v>34755623249.29972</v>
      </c>
      <c r="F8" s="54" t="n">
        <v>33060.32517071874</v>
      </c>
      <c r="G8" s="54" t="n">
        <v>8644062743.486362</v>
      </c>
      <c r="H8" s="54" t="n">
        <v>1566703399.922606</v>
      </c>
      <c r="N8" s="24" t="n">
        <v>90</v>
      </c>
      <c r="O8" s="25" t="n">
        <v>180</v>
      </c>
      <c r="P8" s="16" t="inlineStr">
        <is>
          <t>04</t>
        </is>
      </c>
      <c r="Q8" s="59">
        <f>SUMIFS($G$3:G$1996,$A$3:$A$1996,"&gt;"&amp;N8,$A$3:$A$1996,"&lt;="&amp;O8)</f>
        <v/>
      </c>
      <c r="R8" s="59">
        <f>SUMIFS($H$3:H$1996,$A$3:$A$1996,"&gt;"&amp;N8,$A$3:$A$1996,"&lt;="&amp;O8)</f>
        <v/>
      </c>
      <c r="S8" s="60">
        <f>SUMIFS($F$3:F$1996,$A$3:$A$1996,"&gt;"&amp;N8,$A$3:$A$1996,"&lt;="&amp;O8)</f>
        <v/>
      </c>
      <c r="Y8" s="16" t="inlineStr">
        <is>
          <t>04</t>
        </is>
      </c>
      <c r="Z8" s="59" t="n">
        <v>26225713881</v>
      </c>
      <c r="AA8" s="59" t="n">
        <v>4754961218</v>
      </c>
      <c r="AB8" s="60" t="n">
        <v>99247</v>
      </c>
    </row>
    <row r="9" ht="15" customHeight="1" thickBot="1">
      <c r="A9" s="51">
        <f>B9-$A$2</f>
        <v/>
      </c>
      <c r="B9" s="3" t="n">
        <v>46081</v>
      </c>
      <c r="C9" s="54" t="n">
        <v>3744831372.54902</v>
      </c>
      <c r="D9" s="54" t="n">
        <v>33980.05716463415</v>
      </c>
      <c r="E9" s="54" t="n">
        <v>34755623249.29972</v>
      </c>
      <c r="F9" s="54" t="n">
        <v>32770.1646196872</v>
      </c>
      <c r="G9" s="54" t="n">
        <v>8560284405.459893</v>
      </c>
      <c r="H9" s="54" t="n">
        <v>1542643621.64488</v>
      </c>
      <c r="N9" s="24" t="n">
        <v>180</v>
      </c>
      <c r="O9" s="25" t="n">
        <v>270</v>
      </c>
      <c r="P9" s="16" t="inlineStr">
        <is>
          <t>05</t>
        </is>
      </c>
      <c r="Q9" s="59">
        <f>SUMIFS($G$3:G$1996,$A$3:$A$1996,"&gt;"&amp;N9,$A$3:$A$1996,"&lt;="&amp;O9)</f>
        <v/>
      </c>
      <c r="R9" s="59">
        <f>SUMIFS($H$3:H$1996,$A$3:$A$1996,"&gt;"&amp;N9,$A$3:$A$1996,"&lt;="&amp;O9)</f>
        <v/>
      </c>
      <c r="S9" s="60">
        <f>SUMIFS($F$3:F$1996,$A$3:$A$1996,"&gt;"&amp;N9,$A$3:$A$1996,"&lt;="&amp;O9)</f>
        <v/>
      </c>
      <c r="Y9" s="16" t="inlineStr">
        <is>
          <t>05</t>
        </is>
      </c>
      <c r="Z9" s="59" t="n">
        <v>25473542775</v>
      </c>
      <c r="AA9" s="59" t="n">
        <v>4538917466</v>
      </c>
      <c r="AB9" s="60" t="n">
        <v>96655</v>
      </c>
    </row>
    <row r="10" ht="15" customHeight="1" thickBot="1">
      <c r="A10" s="51">
        <f>B10-$A$2</f>
        <v/>
      </c>
      <c r="B10" s="3" t="n">
        <v>46112</v>
      </c>
      <c r="C10" s="54" t="n">
        <v>3744831372.54902</v>
      </c>
      <c r="D10" s="54" t="n">
        <v>33980.05716463415</v>
      </c>
      <c r="E10" s="54" t="n">
        <v>34755623249.29972</v>
      </c>
      <c r="F10" s="54" t="n">
        <v>32483.90437950833</v>
      </c>
      <c r="G10" s="54" t="n">
        <v>8477436937.855944</v>
      </c>
      <c r="H10" s="54" t="n">
        <v>1518908975.506041</v>
      </c>
      <c r="N10" s="24" t="n">
        <v>270</v>
      </c>
      <c r="O10" s="25" t="n">
        <v>360</v>
      </c>
      <c r="P10" s="16" t="inlineStr">
        <is>
          <t>06</t>
        </is>
      </c>
      <c r="Q10" s="59">
        <f>SUMIFS($G$3:G$1996,$A$3:$A$1996,"&gt;"&amp;N10,$A$3:$A$1996,"&lt;="&amp;O10)</f>
        <v/>
      </c>
      <c r="R10" s="59">
        <f>SUMIFS($H$3:H$1996,$A$3:$A$1996,"&gt;"&amp;N10,$A$3:$A$1996,"&lt;="&amp;O10)</f>
        <v/>
      </c>
      <c r="S10" s="60">
        <f>SUMIFS($F$3:F$1996,$A$3:$A$1996,"&gt;"&amp;N10,$A$3:$A$1996,"&lt;="&amp;O10)</f>
        <v/>
      </c>
      <c r="Y10" s="16" t="inlineStr">
        <is>
          <t>06</t>
        </is>
      </c>
      <c r="Z10" s="59" t="n">
        <v>24742944442</v>
      </c>
      <c r="AA10" s="59" t="n">
        <v>4332689756</v>
      </c>
      <c r="AB10" s="60" t="n">
        <v>94131</v>
      </c>
    </row>
    <row r="11" ht="15" customHeight="1" thickBot="1">
      <c r="A11" s="51">
        <f>B11-$A$2</f>
        <v/>
      </c>
      <c r="B11" s="3" t="n">
        <v>46142</v>
      </c>
      <c r="C11" s="54" t="n">
        <v>3744831372.54902</v>
      </c>
      <c r="D11" s="54" t="n">
        <v>33980.05716463415</v>
      </c>
      <c r="E11" s="54" t="n">
        <v>34755623249.29972</v>
      </c>
      <c r="F11" s="54" t="n">
        <v>32197.64413932945</v>
      </c>
      <c r="G11" s="54" t="n">
        <v>8395520340.674508</v>
      </c>
      <c r="H11" s="54" t="n">
        <v>1495499461.506091</v>
      </c>
      <c r="N11" s="24" t="n">
        <v>360</v>
      </c>
      <c r="O11" s="25" t="n">
        <v>540</v>
      </c>
      <c r="P11" s="16" t="inlineStr">
        <is>
          <t>07</t>
        </is>
      </c>
      <c r="Q11" s="59">
        <f>SUMIFS($G$3:G$1996,$A$3:$A$1996,"&gt;"&amp;N11,$A$3:$A$1996,"&lt;="&amp;O11)</f>
        <v/>
      </c>
      <c r="R11" s="59">
        <f>SUMIFS($H$3:H$1996,$A$3:$A$1996,"&gt;"&amp;N11,$A$3:$A$1996,"&lt;="&amp;O11)</f>
        <v/>
      </c>
      <c r="S11" s="60">
        <f>SUMIFS($F$3:F$1996,$A$3:$A$1996,"&gt;"&amp;N11,$A$3:$A$1996,"&lt;="&amp;O11)</f>
        <v/>
      </c>
      <c r="Y11" s="16" t="inlineStr">
        <is>
          <t>07</t>
        </is>
      </c>
      <c r="Z11" s="59" t="n">
        <v>47377309113</v>
      </c>
      <c r="AA11" s="59" t="n">
        <v>8083750837</v>
      </c>
      <c r="AB11" s="60" t="n">
        <v>180952</v>
      </c>
    </row>
    <row r="12" ht="15" customHeight="1" thickBot="1">
      <c r="A12" s="51">
        <f>B12-$A$2</f>
        <v/>
      </c>
      <c r="B12" s="3" t="n">
        <v>46173</v>
      </c>
      <c r="C12" s="54" t="n">
        <v>3744831372.54902</v>
      </c>
      <c r="D12" s="54" t="n">
        <v>33980.05716463415</v>
      </c>
      <c r="E12" s="54" t="n">
        <v>34755623249.29972</v>
      </c>
      <c r="F12" s="54" t="n">
        <v>31916.05298397089</v>
      </c>
      <c r="G12" s="54" t="n">
        <v>8314534613.915591</v>
      </c>
      <c r="H12" s="54" t="n">
        <v>1472523457.024658</v>
      </c>
      <c r="N12" s="24" t="n">
        <v>540</v>
      </c>
      <c r="O12" s="25" t="n">
        <v>720</v>
      </c>
      <c r="P12" s="16" t="inlineStr">
        <is>
          <t>08</t>
        </is>
      </c>
      <c r="Q12" s="59">
        <f>SUMIFS($G$3:G$1996,$A$3:$A$1996,"&gt;"&amp;N12,$A$3:$A$1996,"&lt;="&amp;O12)</f>
        <v/>
      </c>
      <c r="R12" s="59">
        <f>SUMIFS($H$3:H$1996,$A$3:$A$1996,"&gt;"&amp;N12,$A$3:$A$1996,"&lt;="&amp;O12)</f>
        <v/>
      </c>
      <c r="S12" s="60">
        <f>SUMIFS($F$3:F$1996,$A$3:$A$1996,"&gt;"&amp;N12,$A$3:$A$1996,"&lt;="&amp;O12)</f>
        <v/>
      </c>
      <c r="Y12" s="16" t="inlineStr">
        <is>
          <t>08</t>
        </is>
      </c>
      <c r="Z12" s="59" t="n">
        <v>44698654629</v>
      </c>
      <c r="AA12" s="59" t="n">
        <v>7365861221</v>
      </c>
      <c r="AB12" s="60" t="n">
        <v>171625</v>
      </c>
    </row>
    <row r="13" ht="15" customHeight="1" thickBot="1">
      <c r="A13" s="51">
        <f>B13-$A$2</f>
        <v/>
      </c>
      <c r="B13" s="3" t="n">
        <v>46203</v>
      </c>
      <c r="C13" s="54" t="n">
        <v>3744831372.54902</v>
      </c>
      <c r="D13" s="54" t="n">
        <v>33980.05716463415</v>
      </c>
      <c r="E13" s="54" t="n">
        <v>34755623249.29972</v>
      </c>
      <c r="F13" s="54" t="n">
        <v>31633.69305464467</v>
      </c>
      <c r="G13" s="54" t="n">
        <v>8234479757.579189</v>
      </c>
      <c r="H13" s="54" t="n">
        <v>1449872584.682113</v>
      </c>
      <c r="N13" s="24" t="n">
        <v>720</v>
      </c>
      <c r="O13" s="25" t="n">
        <v>1080</v>
      </c>
      <c r="P13" s="16" t="inlineStr">
        <is>
          <t>09</t>
        </is>
      </c>
      <c r="Q13" s="59">
        <f>SUMIFS($G$3:G$1996,$A$3:$A$1996,"&gt;"&amp;N13,$A$3:$A$1996,"&lt;="&amp;O13)</f>
        <v/>
      </c>
      <c r="R13" s="59">
        <f>SUMIFS($H$3:H$1996,$A$3:$A$1996,"&gt;"&amp;N13,$A$3:$A$1996,"&lt;="&amp;O13)</f>
        <v/>
      </c>
      <c r="S13" s="60">
        <f>SUMIFS($F$3:F$1996,$A$3:$A$1996,"&gt;"&amp;N13,$A$3:$A$1996,"&lt;="&amp;O13)</f>
        <v/>
      </c>
      <c r="Y13" s="16" t="inlineStr">
        <is>
          <t>09</t>
        </is>
      </c>
      <c r="Z13" s="59" t="n">
        <v>81958574386</v>
      </c>
      <c r="AA13" s="59" t="n">
        <v>12827404945</v>
      </c>
      <c r="AB13" s="60" t="n">
        <v>317168</v>
      </c>
    </row>
    <row r="14" ht="15" customHeight="1" thickBot="1">
      <c r="A14" s="51">
        <f>B14-$A$2</f>
        <v/>
      </c>
      <c r="B14" s="3" t="n">
        <v>46234</v>
      </c>
      <c r="C14" s="54" t="n">
        <v>3744831372.54902</v>
      </c>
      <c r="D14" s="54" t="n">
        <v>33980.05716463415</v>
      </c>
      <c r="E14" s="54" t="n">
        <v>34755623249.29972</v>
      </c>
      <c r="F14" s="54" t="n">
        <v>31356.00221013875</v>
      </c>
      <c r="G14" s="54" t="n">
        <v>8155355771.665303</v>
      </c>
      <c r="H14" s="54" t="n">
        <v>1427546844.478457</v>
      </c>
      <c r="N14" s="24" t="n">
        <v>1080</v>
      </c>
      <c r="O14" s="25" t="n">
        <v>1440</v>
      </c>
      <c r="P14" s="16" t="inlineStr">
        <is>
          <t>10</t>
        </is>
      </c>
      <c r="Q14" s="59">
        <f>SUMIFS($G$3:G$1996,$A$3:$A$1996,"&gt;"&amp;N14,$A$3:$A$1996,"&lt;="&amp;O14)</f>
        <v/>
      </c>
      <c r="R14" s="59">
        <f>SUMIFS($H$3:H$1996,$A$3:$A$1996,"&gt;"&amp;N14,$A$3:$A$1996,"&lt;="&amp;O14)</f>
        <v/>
      </c>
      <c r="S14" s="60">
        <f>SUMIFS($F$3:F$1996,$A$3:$A$1996,"&gt;"&amp;N14,$A$3:$A$1996,"&lt;="&amp;O14)</f>
        <v/>
      </c>
      <c r="Y14" s="16" t="inlineStr">
        <is>
          <t>10</t>
        </is>
      </c>
      <c r="Z14" s="59" t="n">
        <v>72952892833</v>
      </c>
      <c r="AA14" s="59" t="n">
        <v>10650255618</v>
      </c>
      <c r="AB14" s="60" t="n">
        <v>285315</v>
      </c>
    </row>
    <row r="15" ht="15" customHeight="1" thickBot="1">
      <c r="A15" s="51">
        <f>B15-$A$2</f>
        <v/>
      </c>
      <c r="B15" s="3" t="n">
        <v>46265</v>
      </c>
      <c r="C15" s="54" t="n">
        <v>3744831372.54902</v>
      </c>
      <c r="D15" s="54" t="n">
        <v>33980.05716463415</v>
      </c>
      <c r="E15" s="54" t="n">
        <v>34755623249.29972</v>
      </c>
      <c r="F15" s="54" t="n">
        <v>31081.44290251783</v>
      </c>
      <c r="G15" s="54" t="n">
        <v>8076231785.751418</v>
      </c>
      <c r="H15" s="54" t="n">
        <v>1405546236.413688</v>
      </c>
      <c r="N15" s="24" t="n">
        <v>1440</v>
      </c>
      <c r="O15" s="25" t="n">
        <v>1800</v>
      </c>
      <c r="P15" s="16" t="inlineStr">
        <is>
          <t>11</t>
        </is>
      </c>
      <c r="Q15" s="59">
        <f>SUMIFS($G$3:G$1996,$A$3:$A$1996,"&gt;"&amp;N15,$A$3:$A$1996,"&lt;="&amp;O15)</f>
        <v/>
      </c>
      <c r="R15" s="59">
        <f>SUMIFS($H$3:H$1996,$A$3:$A$1996,"&gt;"&amp;N15,$A$3:$A$1996,"&lt;="&amp;O15)</f>
        <v/>
      </c>
      <c r="S15" s="60">
        <f>SUMIFS($F$3:F$1996,$A$3:$A$1996,"&gt;"&amp;N15,$A$3:$A$1996,"&lt;="&amp;O15)</f>
        <v/>
      </c>
      <c r="Y15" s="16" t="inlineStr">
        <is>
          <t>11</t>
        </is>
      </c>
      <c r="Z15" s="59" t="n">
        <v>64936763635</v>
      </c>
      <c r="AA15" s="59" t="n">
        <v>8842626019</v>
      </c>
      <c r="AB15" s="60" t="n">
        <v>256661</v>
      </c>
    </row>
    <row r="16" ht="15" customHeight="1" thickBot="1">
      <c r="A16" s="51">
        <f>B16-$A$2</f>
        <v/>
      </c>
      <c r="B16" s="3" t="n">
        <v>46295</v>
      </c>
      <c r="C16" s="54" t="n">
        <v>3744831372.54902</v>
      </c>
      <c r="D16" s="54" t="n">
        <v>33980.05716463415</v>
      </c>
      <c r="E16" s="54" t="n">
        <v>34755623249.29972</v>
      </c>
      <c r="F16" s="54" t="n">
        <v>30807.65236886456</v>
      </c>
      <c r="G16" s="54" t="n">
        <v>7998038670.26005</v>
      </c>
      <c r="H16" s="54" t="n">
        <v>1383979137.867438</v>
      </c>
      <c r="N16" s="24" t="n">
        <v>1800</v>
      </c>
      <c r="O16" s="25" t="n">
        <v>2160</v>
      </c>
      <c r="P16" s="16" t="inlineStr">
        <is>
          <t>12</t>
        </is>
      </c>
      <c r="Q16" s="59">
        <f>SUMIFS($G$3:G$1996,$A$3:$A$1996,"&gt;"&amp;N16,$A$3:$A$1996,"&lt;="&amp;O16)</f>
        <v/>
      </c>
      <c r="R16" s="59">
        <f>SUMIFS($H$3:H$1996,$A$3:$A$1996,"&gt;"&amp;N16,$A$3:$A$1996,"&lt;="&amp;O16)</f>
        <v/>
      </c>
      <c r="S16" s="60">
        <f>SUMIFS($F$3:F$1996,$A$3:$A$1996,"&gt;"&amp;N16,$A$3:$A$1996,"&lt;="&amp;O16)</f>
        <v/>
      </c>
      <c r="Y16" s="16" t="inlineStr">
        <is>
          <t>12</t>
        </is>
      </c>
      <c r="Z16" s="59" t="n">
        <v>57801453892</v>
      </c>
      <c r="AA16" s="59" t="n">
        <v>7341798894</v>
      </c>
      <c r="AB16" s="60" t="n">
        <v>2299034</v>
      </c>
    </row>
    <row r="17" ht="15" customHeight="1" thickBot="1">
      <c r="A17" s="51">
        <f>B17-$A$2</f>
        <v/>
      </c>
      <c r="B17" s="3" t="n">
        <v>46326</v>
      </c>
      <c r="C17" s="54" t="n">
        <v>3744831372.54902</v>
      </c>
      <c r="D17" s="54" t="n">
        <v>33980.05716463415</v>
      </c>
      <c r="E17" s="54" t="n">
        <v>34755623249.29972</v>
      </c>
      <c r="F17" s="54" t="n">
        <v>30536.99337209629</v>
      </c>
      <c r="G17" s="54" t="n">
        <v>7920776425.191195</v>
      </c>
      <c r="H17" s="54" t="n">
        <v>1362737171.460076</v>
      </c>
      <c r="N17" s="24" t="n">
        <v>2160</v>
      </c>
      <c r="O17" s="25" t="n">
        <v>2520</v>
      </c>
      <c r="P17" s="16" t="inlineStr">
        <is>
          <t>13</t>
        </is>
      </c>
      <c r="Q17" s="59">
        <f>SUMIFS($G$3:G$1996,$A$3:$A$1996,"&gt;"&amp;N17,$A$3:$A$1996,"&lt;="&amp;O17)</f>
        <v/>
      </c>
      <c r="R17" s="59">
        <f>SUMIFS($H$3:H$1996,$A$3:$A$1996,"&gt;"&amp;N17,$A$3:$A$1996,"&lt;="&amp;O17)</f>
        <v/>
      </c>
      <c r="S17" s="60">
        <f>SUMIFS($F$3:F$1996,$A$3:$A$1996,"&gt;"&amp;N17,$A$3:$A$1996,"&lt;="&amp;O17)</f>
        <v/>
      </c>
      <c r="Y17" s="16" t="inlineStr">
        <is>
          <t>13</t>
        </is>
      </c>
      <c r="Z17" s="59" t="n">
        <v>468235884950</v>
      </c>
      <c r="AA17" s="59" t="n">
        <v>6095701762</v>
      </c>
      <c r="AB17" s="60" t="n">
        <v>0</v>
      </c>
    </row>
    <row r="18" ht="15" customHeight="1" thickBot="1">
      <c r="A18" s="51">
        <f>B18-$A$2</f>
        <v/>
      </c>
      <c r="B18" s="3" t="n">
        <v>46356</v>
      </c>
      <c r="C18" s="54" t="n">
        <v>3744831372.54902</v>
      </c>
      <c r="D18" s="54" t="n">
        <v>33980.05716463415</v>
      </c>
      <c r="E18" s="54" t="n">
        <v>34755623249.29972</v>
      </c>
      <c r="F18" s="54" t="n">
        <v>30271.00346014833</v>
      </c>
      <c r="G18" s="54" t="n">
        <v>7844445050.54486</v>
      </c>
      <c r="H18" s="54" t="n">
        <v>1341711959.811972</v>
      </c>
      <c r="N18" s="24" t="n">
        <v>2520</v>
      </c>
      <c r="O18" s="25" t="n">
        <v>2880</v>
      </c>
      <c r="P18" s="16" t="inlineStr">
        <is>
          <t>14</t>
        </is>
      </c>
      <c r="Q18" s="59">
        <f>SUMIFS($G$3:G$1996,$A$3:$A$1996,"&gt;"&amp;N18,$A$3:$A$1996,"&lt;="&amp;O18)</f>
        <v/>
      </c>
      <c r="R18" s="59">
        <f>SUMIFS($H$3:H$1996,$A$3:$A$1996,"&gt;"&amp;N18,$A$3:$A$1996,"&lt;="&amp;O18)</f>
        <v/>
      </c>
      <c r="S18" s="60">
        <f>SUMIFS($F$3:F$1996,$A$3:$A$1996,"&gt;"&amp;N18,$A$3:$A$1996,"&lt;="&amp;O18)</f>
        <v/>
      </c>
      <c r="Y18" s="16" t="inlineStr">
        <is>
          <t>14</t>
        </is>
      </c>
      <c r="Z18" s="59" t="n">
        <v>0</v>
      </c>
      <c r="AA18" s="59" t="n">
        <v>5061100215</v>
      </c>
      <c r="AB18" s="60" t="n">
        <v>0</v>
      </c>
    </row>
    <row r="19" ht="15" customHeight="1" thickBot="1">
      <c r="A19" s="51">
        <f>B19-$A$2</f>
        <v/>
      </c>
      <c r="B19" s="3" t="n">
        <v>46387</v>
      </c>
      <c r="C19" s="54" t="n">
        <v>3744831372.54902</v>
      </c>
      <c r="D19" s="54" t="n">
        <v>33980.05716463415</v>
      </c>
      <c r="E19" s="54" t="n">
        <v>34755623249.29972</v>
      </c>
      <c r="F19" s="54" t="n">
        <v>30004.24477423271</v>
      </c>
      <c r="G19" s="54" t="n">
        <v>7769044546.321038</v>
      </c>
      <c r="H19" s="54" t="n">
        <v>1321120257.682386</v>
      </c>
      <c r="N19" s="24" t="n">
        <v>2880</v>
      </c>
      <c r="O19" s="25" t="n">
        <v>3240</v>
      </c>
      <c r="P19" s="16" t="inlineStr">
        <is>
          <t>15</t>
        </is>
      </c>
      <c r="Q19" s="59">
        <f>SUMIFS($G$3:G$1996,$A$3:$A$1996,"&gt;"&amp;N19,$A$3:$A$1996,"&lt;="&amp;O19)</f>
        <v/>
      </c>
      <c r="R19" s="59">
        <f>SUMIFS($H$3:H$1996,$A$3:$A$1996,"&gt;"&amp;N19,$A$3:$A$1996,"&lt;="&amp;O19)</f>
        <v/>
      </c>
      <c r="S19" s="60">
        <f>SUMIFS($F$3:F$1996,$A$3:$A$1996,"&gt;"&amp;N19,$A$3:$A$1996,"&lt;="&amp;O19)</f>
        <v/>
      </c>
      <c r="Y19" s="16" t="inlineStr">
        <is>
          <t>15</t>
        </is>
      </c>
      <c r="Z19" s="59" t="n">
        <v>0</v>
      </c>
      <c r="AA19" s="59" t="n">
        <v>24758067962</v>
      </c>
      <c r="AB19" s="60" t="n">
        <v>0</v>
      </c>
    </row>
    <row r="20" ht="15" customHeight="1" thickBot="1">
      <c r="A20" s="51">
        <f>B20-$A$2</f>
        <v/>
      </c>
      <c r="B20" s="3" t="n">
        <v>46418</v>
      </c>
      <c r="C20" s="54" t="n">
        <v>3744831372.54902</v>
      </c>
      <c r="D20" s="54" t="n">
        <v>33980.05716463415</v>
      </c>
      <c r="E20" s="54" t="n">
        <v>34755623249.29972</v>
      </c>
      <c r="F20" s="54" t="n">
        <v>29741.38639916974</v>
      </c>
      <c r="G20" s="54" t="n">
        <v>7693644042.097219</v>
      </c>
      <c r="H20" s="54" t="n">
        <v>1300745310.312059</v>
      </c>
      <c r="N20" s="24" t="n">
        <v>3240</v>
      </c>
      <c r="O20" s="25" t="n">
        <v>3600</v>
      </c>
      <c r="P20" s="16" t="inlineStr">
        <is>
          <t>16</t>
        </is>
      </c>
      <c r="Q20" s="59">
        <f>SUMIFS($G$3:G$1996,$A$3:$A$1996,"&gt;"&amp;N20,$A$3:$A$1996,"&lt;="&amp;O20)</f>
        <v/>
      </c>
      <c r="R20" s="59">
        <f>SUMIFS($H$3:H$1996,$A$3:$A$1996,"&gt;"&amp;N20,$A$3:$A$1996,"&lt;="&amp;O20)</f>
        <v/>
      </c>
      <c r="S20" s="60">
        <f>SUMIFS($F$3:F$1996,$A$3:$A$1996,"&gt;"&amp;N20,$A$3:$A$1996,"&lt;="&amp;O20)</f>
        <v/>
      </c>
      <c r="Y20" s="16" t="inlineStr">
        <is>
          <t>16</t>
        </is>
      </c>
      <c r="Z20" s="59" t="n">
        <v>0</v>
      </c>
      <c r="AA20" s="59" t="n">
        <v>0</v>
      </c>
      <c r="AB20" s="60" t="n">
        <v>0</v>
      </c>
    </row>
    <row r="21" ht="15" customHeight="1" thickBot="1">
      <c r="A21" s="51">
        <f>B21-$A$2</f>
        <v/>
      </c>
      <c r="B21" s="3" t="n">
        <v>46446</v>
      </c>
      <c r="C21" s="54" t="n">
        <v>3744831372.54902</v>
      </c>
      <c r="D21" s="54" t="n">
        <v>33980.05716463415</v>
      </c>
      <c r="E21" s="54" t="n">
        <v>34755623249.29972</v>
      </c>
      <c r="F21" s="54" t="n">
        <v>29479.29679807444</v>
      </c>
      <c r="G21" s="54" t="n">
        <v>7620105278.718431</v>
      </c>
      <c r="H21" s="54" t="n">
        <v>1280803872.460249</v>
      </c>
      <c r="N21" s="24" t="n">
        <v>3600</v>
      </c>
      <c r="O21" s="25" t="n">
        <v>5400</v>
      </c>
      <c r="P21" s="16" t="inlineStr">
        <is>
          <t>17</t>
        </is>
      </c>
      <c r="Q21" s="59">
        <f>SUMIFS($G$3:G$1996,$A$3:$A$1996,"&gt;"&amp;N21,$A$3:$A$1996,"&lt;="&amp;O21)</f>
        <v/>
      </c>
      <c r="R21" s="59">
        <f>SUMIFS($H$3:H$1996,$A$3:$A$1996,"&gt;"&amp;N21,$A$3:$A$1996,"&lt;="&amp;O21)</f>
        <v/>
      </c>
      <c r="S21" s="60">
        <f>SUMIFS($F$3:F$1996,$A$3:$A$1996,"&gt;"&amp;N21,$A$3:$A$1996,"&lt;="&amp;O21)</f>
        <v/>
      </c>
      <c r="Y21" s="16" t="inlineStr">
        <is>
          <t>17</t>
        </is>
      </c>
      <c r="Z21" s="59" t="n">
        <v>0</v>
      </c>
      <c r="AA21" s="59" t="n">
        <v>0</v>
      </c>
      <c r="AB21" s="60" t="n">
        <v>0</v>
      </c>
    </row>
    <row r="22" ht="15" customHeight="1" thickBot="1">
      <c r="A22" s="51">
        <f>B22-$A$2</f>
        <v/>
      </c>
      <c r="B22" s="3" t="n">
        <v>46477</v>
      </c>
      <c r="C22" s="54" t="n">
        <v>3744831372.54902</v>
      </c>
      <c r="D22" s="54" t="n">
        <v>33980.05716463415</v>
      </c>
      <c r="E22" s="54" t="n">
        <v>34755623249.29972</v>
      </c>
      <c r="F22" s="54" t="n">
        <v>29221.10750783179</v>
      </c>
      <c r="G22" s="54" t="n">
        <v>7546566515.339643</v>
      </c>
      <c r="H22" s="54" t="n">
        <v>1261079189.367698</v>
      </c>
      <c r="N22" s="24" t="n">
        <v>5400</v>
      </c>
      <c r="O22" s="25" t="n">
        <v>7200</v>
      </c>
      <c r="P22" s="16" t="inlineStr">
        <is>
          <t>18</t>
        </is>
      </c>
      <c r="Q22" s="59">
        <f>SUMIFS($G$3:G$1996,$A$3:$A$1996,"&gt;"&amp;N22,$A$3:$A$1996,"&lt;="&amp;O22)</f>
        <v/>
      </c>
      <c r="R22" s="59">
        <f>SUMIFS($H$3:H$1996,$A$3:$A$1996,"&gt;"&amp;N22,$A$3:$A$1996,"&lt;="&amp;O22)</f>
        <v/>
      </c>
      <c r="S22" s="60">
        <f>SUMIFS($F$3:F$1996,$A$3:$A$1996,"&gt;"&amp;N22,$A$3:$A$1996,"&lt;="&amp;O22)</f>
        <v/>
      </c>
      <c r="Y22" s="16" t="inlineStr">
        <is>
          <t>18</t>
        </is>
      </c>
      <c r="Z22" s="59" t="n">
        <v>0</v>
      </c>
      <c r="AA22" s="59" t="n">
        <v>0</v>
      </c>
      <c r="AB22" s="60" t="n">
        <v>0</v>
      </c>
    </row>
    <row r="23" ht="15" customHeight="1" thickBot="1">
      <c r="A23" s="51">
        <f>B23-$A$2</f>
        <v/>
      </c>
      <c r="B23" s="3" t="n">
        <v>46507</v>
      </c>
      <c r="C23" s="54" t="n">
        <v>3744831372.54902</v>
      </c>
      <c r="D23" s="54" t="n">
        <v>33980.05716463415</v>
      </c>
      <c r="E23" s="54" t="n">
        <v>34755623249.29972</v>
      </c>
      <c r="F23" s="54" t="n">
        <v>28962.91821758912</v>
      </c>
      <c r="G23" s="54" t="n">
        <v>7473027751.960856</v>
      </c>
      <c r="H23" s="54" t="n">
        <v>1241679638.414036</v>
      </c>
      <c r="N23" s="26" t="n">
        <v>7200</v>
      </c>
      <c r="O23" s="27" t="inlineStr">
        <is>
          <t>inf</t>
        </is>
      </c>
      <c r="P23" s="16" t="inlineStr">
        <is>
          <t>19</t>
        </is>
      </c>
      <c r="Q23" s="59">
        <f>SUMIFS($G$3:G$1996,$A$3:$A$1996,"&gt;"&amp;N23)</f>
        <v/>
      </c>
      <c r="R23" s="59">
        <f>SUMIFS($H$3:H$1996,$A$3:$A$1996,"&gt;"&amp;N23,$A$3:$A$1996,"&lt;="&amp;O23)</f>
        <v/>
      </c>
      <c r="S23" s="60">
        <f>SUMIFS($F$3:F$1996,$A$3:$A$1996,"&gt;"&amp;N23,$A$3:$A$1996,"&lt;="&amp;O23)</f>
        <v/>
      </c>
      <c r="Y23" s="16" t="inlineStr">
        <is>
          <t>19</t>
        </is>
      </c>
      <c r="Z23" s="59" t="n">
        <v>0</v>
      </c>
      <c r="AA23" s="59" t="n">
        <v>0</v>
      </c>
      <c r="AB23" s="60" t="n">
        <v>0</v>
      </c>
    </row>
    <row r="24" ht="19" customHeight="1" thickBot="1">
      <c r="A24" s="51">
        <f>B24-$A$2</f>
        <v/>
      </c>
      <c r="B24" s="3" t="n">
        <v>46538</v>
      </c>
      <c r="C24" s="54" t="n">
        <v>3744831372.54902</v>
      </c>
      <c r="D24" s="54" t="n">
        <v>33980.05716463415</v>
      </c>
      <c r="E24" s="54" t="n">
        <v>34755623249.29972</v>
      </c>
      <c r="F24" s="54" t="n">
        <v>28708.62923819912</v>
      </c>
      <c r="G24" s="54" t="n">
        <v>7401350729.4271</v>
      </c>
      <c r="H24" s="54" t="n">
        <v>1222605219.599261</v>
      </c>
      <c r="P24" s="17" t="inlineStr">
        <is>
          <t>TOTAL</t>
        </is>
      </c>
      <c r="Q24" s="61">
        <f>SUM(Q5:Q23)</f>
        <v/>
      </c>
      <c r="R24" s="61">
        <f>SUM(R5:R23)</f>
        <v/>
      </c>
      <c r="S24" s="61">
        <f>SUM(S5:S23)</f>
        <v/>
      </c>
      <c r="Y24" s="17" t="inlineStr">
        <is>
          <t>TOTAL</t>
        </is>
      </c>
      <c r="Z24" s="61" t="n">
        <v>1344862613267</v>
      </c>
      <c r="AA24" s="61" t="n">
        <v>156620605931</v>
      </c>
      <c r="AB24" s="61" t="n">
        <v>5575280</v>
      </c>
    </row>
    <row r="25" ht="19" customHeight="1" thickBot="1">
      <c r="A25" s="51">
        <f>B25-$A$2</f>
        <v/>
      </c>
      <c r="B25" s="3" t="n">
        <v>46568</v>
      </c>
      <c r="C25" s="54" t="n">
        <v>3744831372.54902</v>
      </c>
      <c r="D25" s="54" t="n">
        <v>33980.05716463415</v>
      </c>
      <c r="E25" s="54" t="n">
        <v>34755623249.29972</v>
      </c>
      <c r="F25" s="54" t="n">
        <v>28457.47179569411</v>
      </c>
      <c r="G25" s="54" t="n">
        <v>7329673706.893347</v>
      </c>
      <c r="H25" s="54" t="n">
        <v>1203747555.543746</v>
      </c>
      <c r="P25" s="18" t="inlineStr">
        <is>
          <t>TOTAL MM$</t>
        </is>
      </c>
      <c r="Q25" s="61">
        <f>SUM(Q5:Q23)/1000000</f>
        <v/>
      </c>
      <c r="R25" s="61">
        <f>SUM(R5:R23)/1000000</f>
        <v/>
      </c>
      <c r="S25" s="61">
        <f>SUM(S5:S23)/1000000</f>
        <v/>
      </c>
      <c r="Y25" s="18" t="inlineStr">
        <is>
          <t>TOTAL MM$</t>
        </is>
      </c>
      <c r="Z25" s="61" t="n">
        <v>1344862.613267</v>
      </c>
      <c r="AA25" s="61" t="n">
        <v>156620.605931</v>
      </c>
      <c r="AB25" s="61" t="n">
        <v>5.57528</v>
      </c>
    </row>
    <row r="26">
      <c r="A26" s="51">
        <f>B26-$A$2</f>
        <v/>
      </c>
      <c r="B26" s="3" t="n">
        <v>46599</v>
      </c>
      <c r="C26" s="54" t="n">
        <v>3744831372.54902</v>
      </c>
      <c r="D26" s="54" t="n">
        <v>33980.05716463415</v>
      </c>
      <c r="E26" s="54" t="n">
        <v>34755623249.29972</v>
      </c>
      <c r="F26" s="54" t="n">
        <v>28207.08312715675</v>
      </c>
      <c r="G26" s="54" t="n">
        <v>7258927554.782107</v>
      </c>
      <c r="H26" s="54" t="n">
        <v>1185215023.627118</v>
      </c>
    </row>
    <row r="27">
      <c r="A27" s="51">
        <f>B27-$A$2</f>
        <v/>
      </c>
      <c r="B27" s="3" t="n">
        <v>46630</v>
      </c>
      <c r="C27" s="54" t="n">
        <v>3744831372.54902</v>
      </c>
      <c r="D27" s="54" t="n">
        <v>33980.05716463415</v>
      </c>
      <c r="E27" s="54" t="n">
        <v>34755623249.29972</v>
      </c>
      <c r="F27" s="54" t="n">
        <v>27959.82599550439</v>
      </c>
      <c r="G27" s="54" t="n">
        <v>7189112273.093384</v>
      </c>
      <c r="H27" s="54" t="n">
        <v>1167007623.849379</v>
      </c>
    </row>
    <row r="28">
      <c r="A28" s="51">
        <f>B28-$A$2</f>
        <v/>
      </c>
      <c r="B28" s="3" t="n">
        <v>46660</v>
      </c>
      <c r="C28" s="54" t="n">
        <v>3744831372.54902</v>
      </c>
      <c r="D28" s="54" t="n">
        <v>33980.05716463415</v>
      </c>
      <c r="E28" s="54" t="n">
        <v>34755623249.29972</v>
      </c>
      <c r="F28" s="54" t="n">
        <v>27713.33763781969</v>
      </c>
      <c r="G28" s="54" t="n">
        <v>7119296991.404662</v>
      </c>
      <c r="H28" s="54" t="n">
        <v>1149125356.210528</v>
      </c>
    </row>
    <row r="29">
      <c r="A29" s="51">
        <f>B29-$A$2</f>
        <v/>
      </c>
      <c r="B29" s="3" t="n">
        <v>46691</v>
      </c>
      <c r="C29" s="54" t="n">
        <v>3744831372.54902</v>
      </c>
      <c r="D29" s="54" t="n">
        <v>33980.05716463415</v>
      </c>
      <c r="E29" s="54" t="n">
        <v>34755623249.29972</v>
      </c>
      <c r="F29" s="54" t="n">
        <v>27470.74959098763</v>
      </c>
      <c r="G29" s="54" t="n">
        <v>7050412580.138455</v>
      </c>
      <c r="H29" s="54" t="n">
        <v>1131459843.330936</v>
      </c>
    </row>
    <row r="30">
      <c r="A30" s="51">
        <f>B30-$A$2</f>
        <v/>
      </c>
      <c r="B30" s="3" t="n">
        <v>46721</v>
      </c>
      <c r="C30" s="54" t="n">
        <v>3744831372.54902</v>
      </c>
      <c r="D30" s="54" t="n">
        <v>33980.05716463415</v>
      </c>
      <c r="E30" s="54" t="n">
        <v>34755623249.29972</v>
      </c>
      <c r="F30" s="54" t="n">
        <v>27231.29308104057</v>
      </c>
      <c r="G30" s="54" t="n">
        <v>6982459039.294765</v>
      </c>
      <c r="H30" s="54" t="n">
        <v>1114011085.210603</v>
      </c>
      <c r="X30" s="62" t="n"/>
    </row>
    <row r="31">
      <c r="A31" s="51">
        <f>B31-$A$2</f>
        <v/>
      </c>
      <c r="B31" s="3" t="n">
        <v>46752</v>
      </c>
      <c r="C31" s="54" t="n">
        <v>3744831372.54902</v>
      </c>
      <c r="D31" s="54" t="n">
        <v>33980.05716463415</v>
      </c>
      <c r="E31" s="54" t="n">
        <v>34755623249.29972</v>
      </c>
      <c r="F31" s="54" t="n">
        <v>26992.60534506118</v>
      </c>
      <c r="G31" s="54" t="n">
        <v>6915436368.873592</v>
      </c>
      <c r="H31" s="54" t="n">
        <v>1096887459.229157</v>
      </c>
      <c r="N31" s="28" t="n"/>
      <c r="O31" s="28" t="n"/>
      <c r="P31" s="28" t="n"/>
      <c r="Q31" s="28" t="n"/>
      <c r="R31" s="28" t="n"/>
      <c r="S31" s="28" t="n"/>
      <c r="T31" s="28" t="n"/>
      <c r="U31" s="28" t="n"/>
      <c r="V31" s="28" t="n"/>
    </row>
    <row r="32">
      <c r="A32" s="51">
        <f>B32-$A$2</f>
        <v/>
      </c>
      <c r="B32" s="3" t="n">
        <v>46783</v>
      </c>
      <c r="C32" s="54" t="n">
        <v>3744831372.54902</v>
      </c>
      <c r="D32" s="54" t="n">
        <v>33980.05716463415</v>
      </c>
      <c r="E32" s="54" t="n">
        <v>34755623249.29972</v>
      </c>
      <c r="F32" s="54" t="n">
        <v>26753.91760908178</v>
      </c>
      <c r="G32" s="54" t="n">
        <v>6848413698.452418</v>
      </c>
      <c r="H32" s="54" t="n">
        <v>1079980588.006971</v>
      </c>
      <c r="N32" s="28" t="n"/>
      <c r="O32" s="28" t="n"/>
      <c r="P32" s="28" t="n"/>
      <c r="Q32" s="28" t="n"/>
      <c r="R32" s="28" t="n"/>
      <c r="S32" s="28" t="n"/>
      <c r="T32" s="28" t="n"/>
      <c r="U32" s="28" t="n"/>
      <c r="V32" s="28" t="n"/>
    </row>
    <row r="33" ht="15" customHeight="1" thickBot="1">
      <c r="A33" s="51">
        <f>B33-$A$2</f>
        <v/>
      </c>
      <c r="B33" s="3" t="n">
        <v>46812</v>
      </c>
      <c r="C33" s="54" t="n">
        <v>3744831372.54902</v>
      </c>
      <c r="D33" s="54" t="n">
        <v>33980.05716463415</v>
      </c>
      <c r="E33" s="54" t="n">
        <v>34755623249.29972</v>
      </c>
      <c r="F33" s="54" t="n">
        <v>26519.13018395503</v>
      </c>
      <c r="G33" s="54" t="n">
        <v>6782321898.453761</v>
      </c>
      <c r="H33" s="54" t="n">
        <v>1063398848.923673</v>
      </c>
      <c r="N33" s="28" t="n"/>
      <c r="O33" s="28" t="n"/>
      <c r="P33" s="28" t="n"/>
      <c r="Q33" s="28" t="n"/>
      <c r="R33" s="28" t="n"/>
      <c r="S33" s="28" t="n"/>
      <c r="T33" s="28" t="n"/>
      <c r="U33" s="28" t="n"/>
      <c r="V33" s="28" t="n"/>
    </row>
    <row r="34" ht="15" customHeight="1" thickBot="1">
      <c r="A34" s="51">
        <f>B34-$A$2</f>
        <v/>
      </c>
      <c r="B34" s="3" t="n">
        <v>46843</v>
      </c>
      <c r="C34" s="54" t="n">
        <v>3744831372.54902</v>
      </c>
      <c r="D34" s="54" t="n">
        <v>33980.05716463415</v>
      </c>
      <c r="E34" s="54" t="n">
        <v>34755623249.29972</v>
      </c>
      <c r="F34" s="54" t="n">
        <v>26287.47429571327</v>
      </c>
      <c r="G34" s="54" t="n">
        <v>6717160968.877621</v>
      </c>
      <c r="H34" s="54" t="n">
        <v>1047033864.599633</v>
      </c>
      <c r="N34" s="28" t="n"/>
      <c r="O34" s="28" t="n"/>
      <c r="P34" s="29" t="inlineStr">
        <is>
          <t>Comparativo T y T-1</t>
        </is>
      </c>
      <c r="Q34" s="63" t="inlineStr">
        <is>
          <t>Amortizacion + Intereses</t>
        </is>
      </c>
      <c r="R34" s="63" t="inlineStr">
        <is>
          <t>Amortizacion + Intereses</t>
        </is>
      </c>
      <c r="S34" s="64" t="inlineStr">
        <is>
          <t>Amortizacion + Intereses</t>
        </is>
      </c>
      <c r="T34" s="28" t="n"/>
      <c r="U34" s="28" t="n"/>
      <c r="V34" s="28" t="n"/>
    </row>
    <row r="35" ht="15" customHeight="1" thickBot="1">
      <c r="A35" s="51">
        <f>B35-$A$2</f>
        <v/>
      </c>
      <c r="B35" s="3" t="n">
        <v>46873</v>
      </c>
      <c r="C35" s="54" t="n">
        <v>3744831372.54902</v>
      </c>
      <c r="D35" s="54" t="n">
        <v>33980.05716463415</v>
      </c>
      <c r="E35" s="54" t="n">
        <v>34755623249.29972</v>
      </c>
      <c r="F35" s="54" t="n">
        <v>26056.58718143918</v>
      </c>
      <c r="G35" s="54" t="n">
        <v>6652000039.301479</v>
      </c>
      <c r="H35" s="54" t="n">
        <v>1030885635.034853</v>
      </c>
      <c r="N35" s="28" t="n"/>
      <c r="O35" s="28" t="n"/>
      <c r="P35" s="32" t="inlineStr">
        <is>
          <t>Banda</t>
        </is>
      </c>
      <c r="Q35" s="65" t="inlineStr">
        <is>
          <t>MT_R13_CTA. CORRIENTE</t>
        </is>
      </c>
      <c r="R35" s="66" t="inlineStr">
        <is>
          <t>MT_R13_CTA. VISTA</t>
        </is>
      </c>
      <c r="S35" s="65" t="inlineStr">
        <is>
          <t>MT_R13_CTA. AHORRO</t>
        </is>
      </c>
      <c r="T35" s="28" t="n"/>
      <c r="U35" s="28" t="n"/>
      <c r="V35" s="28" t="n"/>
    </row>
    <row r="36" ht="15" customHeight="1" thickBot="1">
      <c r="A36" s="51">
        <f>B36-$A$2</f>
        <v/>
      </c>
      <c r="B36" s="3" t="n">
        <v>46904</v>
      </c>
      <c r="C36" s="54" t="n">
        <v>3744831372.54902</v>
      </c>
      <c r="D36" s="54" t="n">
        <v>33980.05716463415</v>
      </c>
      <c r="E36" s="54" t="n">
        <v>34755623249.29972</v>
      </c>
      <c r="F36" s="54" t="n">
        <v>25826.46884113274</v>
      </c>
      <c r="G36" s="54" t="n">
        <v>6587769980.147855</v>
      </c>
      <c r="H36" s="54" t="n">
        <v>1015062537.60896</v>
      </c>
      <c r="N36" s="28" t="n"/>
      <c r="O36" s="28" t="n"/>
      <c r="P36" s="35" t="inlineStr">
        <is>
          <t>01</t>
        </is>
      </c>
      <c r="Q36" s="36">
        <f>IFERROR((Q5-Z5)/Z5,"NA")</f>
        <v/>
      </c>
      <c r="R36" s="36">
        <f>IFERROR((R5-AA5)/AA5,"NA")</f>
        <v/>
      </c>
      <c r="S36" s="36">
        <f>IFERROR((S5-AB5)/AB5,"NA")</f>
        <v/>
      </c>
      <c r="T36" s="28" t="n"/>
      <c r="U36" s="28" t="n"/>
      <c r="V36" s="28" t="n"/>
    </row>
    <row r="37" ht="15" customHeight="1" thickBot="1">
      <c r="A37" s="51">
        <f>B37-$A$2</f>
        <v/>
      </c>
      <c r="B37" s="3" t="n">
        <v>46934</v>
      </c>
      <c r="C37" s="54" t="n">
        <v>171396078.4313726</v>
      </c>
      <c r="D37" s="54" t="n">
        <v>33980.05716463415</v>
      </c>
      <c r="E37" s="54" t="n">
        <v>2203270308.123249</v>
      </c>
      <c r="F37" s="54" t="n">
        <v>25599.4820377113</v>
      </c>
      <c r="G37" s="54" t="n">
        <v>6524470791.416746</v>
      </c>
      <c r="H37" s="54" t="n">
        <v>999456194.9423267</v>
      </c>
      <c r="N37" s="28" t="n"/>
      <c r="O37" s="28" t="n"/>
      <c r="P37" s="35" t="inlineStr">
        <is>
          <t>02</t>
        </is>
      </c>
      <c r="Q37" s="36">
        <f>IFERROR((Q6-Z6)/Z6,"NA")</f>
        <v/>
      </c>
      <c r="R37" s="36">
        <f>IFERROR((R6-AA6)/AA6,"NA")</f>
        <v/>
      </c>
      <c r="S37" s="36">
        <f>IFERROR((S6-AB6)/AB6,"NA")</f>
        <v/>
      </c>
      <c r="T37" s="28" t="n"/>
      <c r="U37" s="28" t="n"/>
      <c r="V37" s="28" t="n"/>
    </row>
    <row r="38" ht="15" customHeight="1" thickBot="1">
      <c r="A38" s="51">
        <f>B38-$A$2</f>
        <v/>
      </c>
      <c r="B38" s="3" t="n">
        <v>46965</v>
      </c>
      <c r="C38" s="54" t="n">
        <v>171396078.4313726</v>
      </c>
      <c r="D38" s="54" t="n">
        <v>33980.05716463415</v>
      </c>
      <c r="E38" s="54" t="n">
        <v>2203270308.123249</v>
      </c>
      <c r="F38" s="54" t="n">
        <v>25375.62677117485</v>
      </c>
      <c r="G38" s="54" t="n">
        <v>6461171602.685637</v>
      </c>
      <c r="H38" s="54" t="n">
        <v>984066607.0349519</v>
      </c>
      <c r="N38" s="28" t="n"/>
      <c r="O38" s="28" t="n"/>
      <c r="P38" s="35" t="inlineStr">
        <is>
          <t>03</t>
        </is>
      </c>
      <c r="Q38" s="36">
        <f>IFERROR((Q7-Z7)/Z7,"NA")</f>
        <v/>
      </c>
      <c r="R38" s="36">
        <f>IFERROR((R7-AA7)/AA7,"NA")</f>
        <v/>
      </c>
      <c r="S38" s="36">
        <f>IFERROR((S7-AB7)/AB7,"NA")</f>
        <v/>
      </c>
      <c r="T38" s="28" t="n"/>
      <c r="U38" s="28" t="n"/>
      <c r="V38" s="28" t="n"/>
    </row>
    <row r="39" ht="15" customHeight="1" thickBot="1">
      <c r="A39" s="51">
        <f>B39-$A$2</f>
        <v/>
      </c>
      <c r="B39" s="3" t="n">
        <v>46996</v>
      </c>
      <c r="C39" s="54" t="n">
        <v>171396078.4313726</v>
      </c>
      <c r="D39" s="54" t="n">
        <v>33980.05716463415</v>
      </c>
      <c r="E39" s="54" t="n">
        <v>2203270308.123249</v>
      </c>
      <c r="F39" s="54" t="n">
        <v>25152.54027860605</v>
      </c>
      <c r="G39" s="54" t="n">
        <v>6398803284.377046</v>
      </c>
      <c r="H39" s="54" t="n">
        <v>969002151.2664653</v>
      </c>
      <c r="N39" s="28" t="n"/>
      <c r="O39" s="28" t="n"/>
      <c r="P39" s="35" t="inlineStr">
        <is>
          <t>04</t>
        </is>
      </c>
      <c r="Q39" s="36">
        <f>IFERROR((Q8-Z8)/Z8,"NA")</f>
        <v/>
      </c>
      <c r="R39" s="36">
        <f>IFERROR((R8-AA8)/AA8,"NA")</f>
        <v/>
      </c>
      <c r="S39" s="36">
        <f>IFERROR((S8-AB8)/AB8,"NA")</f>
        <v/>
      </c>
      <c r="T39" s="28" t="n"/>
      <c r="U39" s="28" t="n"/>
      <c r="V39" s="28" t="n"/>
    </row>
    <row r="40" ht="15" customHeight="1" thickBot="1">
      <c r="A40" s="51">
        <f>B40-$A$2</f>
        <v/>
      </c>
      <c r="B40" s="3" t="n">
        <v>47026</v>
      </c>
      <c r="C40" s="54" t="n">
        <v>171396078.4313726</v>
      </c>
      <c r="D40" s="54" t="n">
        <v>33980.05716463415</v>
      </c>
      <c r="E40" s="54" t="n">
        <v>2203270308.123249</v>
      </c>
      <c r="F40" s="54" t="n">
        <v>24929.45378603725</v>
      </c>
      <c r="G40" s="54" t="n">
        <v>6337365836.49097</v>
      </c>
      <c r="H40" s="54" t="n">
        <v>954046072.8776082</v>
      </c>
      <c r="N40" s="28" t="n"/>
      <c r="O40" s="28" t="n"/>
      <c r="P40" s="35" t="inlineStr">
        <is>
          <t>05</t>
        </is>
      </c>
      <c r="Q40" s="36">
        <f>IFERROR((Q9-Z9)/Z9,"NA")</f>
        <v/>
      </c>
      <c r="R40" s="36">
        <f>IFERROR((R9-AA9)/AA9,"NA")</f>
        <v/>
      </c>
      <c r="S40" s="36">
        <f>IFERROR((S9-AB9)/AB9,"NA")</f>
        <v/>
      </c>
      <c r="T40" s="28" t="n"/>
      <c r="U40" s="28" t="n"/>
      <c r="V40" s="28" t="n"/>
    </row>
    <row r="41" ht="15" customHeight="1" thickBot="1">
      <c r="A41" s="51">
        <f>B41-$A$2</f>
        <v/>
      </c>
      <c r="B41" s="3" t="n">
        <v>47057</v>
      </c>
      <c r="C41" s="54" t="n">
        <v>171396078.4313726</v>
      </c>
      <c r="D41" s="54" t="n">
        <v>33980.05716463415</v>
      </c>
      <c r="E41" s="54" t="n">
        <v>2203270308.123249</v>
      </c>
      <c r="F41" s="54" t="n">
        <v>24713.39914120611</v>
      </c>
      <c r="G41" s="54" t="n">
        <v>6275928388.604894</v>
      </c>
      <c r="H41" s="54" t="n">
        <v>939415126.6276392</v>
      </c>
      <c r="N41" s="28" t="n"/>
      <c r="O41" s="28" t="n"/>
      <c r="P41" s="35" t="inlineStr">
        <is>
          <t>06</t>
        </is>
      </c>
      <c r="Q41" s="36">
        <f>IFERROR((Q10-Z10)/Z10,"NA")</f>
        <v/>
      </c>
      <c r="R41" s="36">
        <f>IFERROR((R10-AA10)/AA10,"NA")</f>
        <v/>
      </c>
      <c r="S41" s="36">
        <f>IFERROR((S10-AB10)/AB10,"NA")</f>
        <v/>
      </c>
      <c r="T41" s="28" t="n"/>
      <c r="U41" s="28" t="n"/>
      <c r="V41" s="28" t="n"/>
    </row>
    <row r="42" ht="15" customHeight="1" thickBot="1">
      <c r="A42" s="51">
        <f>B42-$A$2</f>
        <v/>
      </c>
      <c r="B42" s="3" t="n">
        <v>47087</v>
      </c>
      <c r="C42" s="54" t="n">
        <v>171396078.4313726</v>
      </c>
      <c r="D42" s="54" t="n">
        <v>33980.05716463415</v>
      </c>
      <c r="E42" s="54" t="n">
        <v>2203270308.123249</v>
      </c>
      <c r="F42" s="54" t="n">
        <v>24494.98173345762</v>
      </c>
      <c r="G42" s="54" t="n">
        <v>6215421811.141335</v>
      </c>
      <c r="H42" s="54" t="n">
        <v>924892557.7572995</v>
      </c>
      <c r="N42" s="28" t="n"/>
      <c r="O42" s="28" t="n"/>
      <c r="P42" s="35" t="inlineStr">
        <is>
          <t>07</t>
        </is>
      </c>
      <c r="Q42" s="36">
        <f>IFERROR((Q11-Z11)/Z11,"NA")</f>
        <v/>
      </c>
      <c r="R42" s="36">
        <f>IFERROR((R11-AA11)/AA11,"NA")</f>
        <v/>
      </c>
      <c r="S42" s="36">
        <f>IFERROR((S11-AB11)/AB11,"NA")</f>
        <v/>
      </c>
      <c r="T42" s="28" t="n"/>
      <c r="U42" s="28" t="n"/>
      <c r="V42" s="28" t="n"/>
    </row>
    <row r="43" ht="15" customHeight="1" thickBot="1">
      <c r="A43" s="51">
        <f>B43-$A$2</f>
        <v/>
      </c>
      <c r="B43" s="3" t="n">
        <v>47118</v>
      </c>
      <c r="C43" s="54" t="n">
        <v>171396078.4313726</v>
      </c>
      <c r="D43" s="54" t="n">
        <v>33980.05716463415</v>
      </c>
      <c r="E43" s="54" t="n">
        <v>2203270308.123249</v>
      </c>
      <c r="F43" s="54" t="n">
        <v>24279.69586259414</v>
      </c>
      <c r="G43" s="54" t="n">
        <v>6155846104.100291</v>
      </c>
      <c r="H43" s="54" t="n">
        <v>910695121.0258483</v>
      </c>
      <c r="N43" s="28" t="n"/>
      <c r="O43" s="28" t="n"/>
      <c r="P43" s="35" t="inlineStr">
        <is>
          <t>08</t>
        </is>
      </c>
      <c r="Q43" s="36">
        <f>IFERROR((Q12-Z12)/Z12,"NA")</f>
        <v/>
      </c>
      <c r="R43" s="36">
        <f>IFERROR((R12-AA12)/AA12,"NA")</f>
        <v/>
      </c>
      <c r="S43" s="36">
        <f>IFERROR((S12-AB12)/AB12,"NA")</f>
        <v/>
      </c>
      <c r="T43" s="28" t="n"/>
      <c r="U43" s="28" t="n"/>
      <c r="V43" s="28" t="n"/>
    </row>
    <row r="44" ht="15" customHeight="1" thickBot="1">
      <c r="A44" s="51">
        <f>B44-$A$2</f>
        <v/>
      </c>
      <c r="B44" s="3" t="n">
        <v>47149</v>
      </c>
      <c r="C44" s="54" t="n">
        <v>171396078.4313726</v>
      </c>
      <c r="D44" s="54" t="n">
        <v>33980.05716463415</v>
      </c>
      <c r="E44" s="54" t="n">
        <v>2203270308.123249</v>
      </c>
      <c r="F44" s="54" t="n">
        <v>24068.31030258329</v>
      </c>
      <c r="G44" s="54" t="n">
        <v>6096270397.059248</v>
      </c>
      <c r="H44" s="54" t="n">
        <v>896714439.0536555</v>
      </c>
      <c r="N44" s="28" t="n"/>
      <c r="O44" s="28" t="n"/>
      <c r="P44" s="35" t="inlineStr">
        <is>
          <t>09</t>
        </is>
      </c>
      <c r="Q44" s="36">
        <f>IFERROR((Q13-Z13)/Z13,"NA")</f>
        <v/>
      </c>
      <c r="R44" s="36">
        <f>IFERROR((R13-AA13)/AA13,"NA")</f>
        <v/>
      </c>
      <c r="S44" s="36">
        <f>IFERROR((S13-AB13)/AB13,"NA")</f>
        <v/>
      </c>
      <c r="T44" s="28" t="n"/>
      <c r="U44" s="28" t="n"/>
      <c r="V44" s="28" t="n"/>
    </row>
    <row r="45" ht="15" customHeight="1" thickBot="1">
      <c r="A45" s="51">
        <f>B45-$A$2</f>
        <v/>
      </c>
      <c r="B45" s="3" t="n">
        <v>47177</v>
      </c>
      <c r="C45" s="54" t="n">
        <v>171396078.4313726</v>
      </c>
      <c r="D45" s="54" t="n">
        <v>33980.05716463415</v>
      </c>
      <c r="E45" s="54" t="n">
        <v>2203270308.123249</v>
      </c>
      <c r="F45" s="54" t="n">
        <v>23856.92474257245</v>
      </c>
      <c r="G45" s="54" t="n">
        <v>6037625560.440721</v>
      </c>
      <c r="H45" s="54" t="n">
        <v>882950511.8407217</v>
      </c>
      <c r="N45" s="28" t="n"/>
      <c r="O45" s="28" t="n"/>
      <c r="P45" s="35" t="inlineStr">
        <is>
          <t>10</t>
        </is>
      </c>
      <c r="Q45" s="36">
        <f>IFERROR((Q14-Z14)/Z14,"NA")</f>
        <v/>
      </c>
      <c r="R45" s="36">
        <f>IFERROR((R14-AA14)/AA14,"NA")</f>
        <v/>
      </c>
      <c r="S45" s="36">
        <f>IFERROR((S14-AB14)/AB14,"NA")</f>
        <v/>
      </c>
      <c r="T45" s="28" t="n"/>
      <c r="U45" s="28" t="n"/>
      <c r="V45" s="28" t="n"/>
    </row>
    <row r="46" ht="15" customHeight="1" thickBot="1">
      <c r="A46" s="51">
        <f>B46-$A$2</f>
        <v/>
      </c>
      <c r="B46" s="3" t="n">
        <v>47208</v>
      </c>
      <c r="C46" s="54" t="n"/>
      <c r="D46" s="54" t="n">
        <v>33980.05716463415</v>
      </c>
      <c r="E46" s="54" t="n"/>
      <c r="F46" s="54" t="n">
        <v>23645.53918256162</v>
      </c>
      <c r="G46" s="54" t="n">
        <v>5978980723.822194</v>
      </c>
      <c r="H46" s="54" t="n">
        <v>869294962.0074174</v>
      </c>
      <c r="N46" s="28" t="n"/>
      <c r="O46" s="28" t="n"/>
      <c r="P46" s="35" t="inlineStr">
        <is>
          <t>11</t>
        </is>
      </c>
      <c r="Q46" s="36">
        <f>IFERROR((Q15-Z15)/Z15,"NA")</f>
        <v/>
      </c>
      <c r="R46" s="36">
        <f>IFERROR((R15-AA15)/AA15,"NA")</f>
        <v/>
      </c>
      <c r="S46" s="36">
        <f>IFERROR((S15-AB15)/AB15,"NA")</f>
        <v/>
      </c>
      <c r="T46" s="28" t="n"/>
      <c r="U46" s="28" t="n"/>
      <c r="V46" s="28" t="n"/>
    </row>
    <row r="47" ht="15" customHeight="1" thickBot="1">
      <c r="A47" s="51">
        <f>B47-$A$2</f>
        <v/>
      </c>
      <c r="B47" s="3" t="n">
        <v>47238</v>
      </c>
      <c r="C47" s="54" t="n"/>
      <c r="D47" s="54" t="n">
        <v>33980.05716463415</v>
      </c>
      <c r="E47" s="54" t="n"/>
      <c r="F47" s="54" t="n">
        <v>23438.05393340343</v>
      </c>
      <c r="G47" s="54" t="n">
        <v>5921266757.626184</v>
      </c>
      <c r="H47" s="54" t="n">
        <v>855964544.3130012</v>
      </c>
      <c r="N47" s="28" t="n"/>
      <c r="O47" s="28" t="n"/>
      <c r="P47" s="35" t="inlineStr">
        <is>
          <t>12</t>
        </is>
      </c>
      <c r="Q47" s="36">
        <f>IFERROR((Q16-Z16)/Z16,"NA")</f>
        <v/>
      </c>
      <c r="R47" s="36">
        <f>IFERROR((R16-AA16)/AA16,"NA")</f>
        <v/>
      </c>
      <c r="S47" s="36">
        <f>IFERROR((S16-AB16)/AB16,"NA")</f>
        <v/>
      </c>
      <c r="T47" s="28" t="n"/>
      <c r="U47" s="28" t="n"/>
      <c r="V47" s="28" t="n"/>
    </row>
    <row r="48" ht="15" customHeight="1" thickBot="1">
      <c r="A48" s="51">
        <f>B48-$A$2</f>
        <v/>
      </c>
      <c r="B48" s="3" t="n">
        <v>47269</v>
      </c>
      <c r="C48" s="54" t="n"/>
      <c r="D48" s="54" t="n">
        <v>33980.05716463415</v>
      </c>
      <c r="E48" s="54" t="n"/>
      <c r="F48" s="54" t="n">
        <v>23233.70022113023</v>
      </c>
      <c r="G48" s="54" t="n">
        <v>5864483661.85269</v>
      </c>
      <c r="H48" s="54" t="n">
        <v>842742503.9982144</v>
      </c>
      <c r="N48" s="28" t="n"/>
      <c r="O48" s="28" t="n"/>
      <c r="P48" s="35" t="inlineStr">
        <is>
          <t>13</t>
        </is>
      </c>
      <c r="Q48" s="36">
        <f>IFERROR((Q17-Z17)/Z17,"NA")</f>
        <v/>
      </c>
      <c r="R48" s="36">
        <f>IFERROR((R17-AA17)/AA17,"NA")</f>
        <v/>
      </c>
      <c r="S48" s="36">
        <f>IFERROR((S17-AB17)/AB17,"NA")</f>
        <v/>
      </c>
      <c r="T48" s="28" t="n"/>
      <c r="U48" s="28" t="n"/>
      <c r="V48" s="28" t="n"/>
    </row>
    <row r="49" ht="15" customHeight="1" thickBot="1">
      <c r="A49" s="51">
        <f>B49-$A$2</f>
        <v/>
      </c>
      <c r="B49" s="3" t="n">
        <v>47299</v>
      </c>
      <c r="C49" s="54" t="n"/>
      <c r="D49" s="54" t="n">
        <v>33980.05716463415</v>
      </c>
      <c r="E49" s="54" t="n"/>
      <c r="F49" s="54" t="n">
        <v>23026.9837459397</v>
      </c>
      <c r="G49" s="54" t="n">
        <v>5807700566.079195</v>
      </c>
      <c r="H49" s="54" t="n">
        <v>829845595.8223157</v>
      </c>
      <c r="N49" s="28" t="n"/>
      <c r="O49" s="28" t="n"/>
      <c r="P49" s="35" t="inlineStr">
        <is>
          <t>14</t>
        </is>
      </c>
      <c r="Q49" s="36">
        <f>IFERROR((Q18-Z18)/Z18,"NA")</f>
        <v/>
      </c>
      <c r="R49" s="36">
        <f>IFERROR((R18-AA18)/AA18,"NA")</f>
        <v/>
      </c>
      <c r="S49" s="36">
        <f>IFERROR((S18-AB18)/AB18,"NA")</f>
        <v/>
      </c>
      <c r="T49" s="28" t="n"/>
      <c r="U49" s="28" t="n"/>
      <c r="V49" s="28" t="n"/>
    </row>
    <row r="50" ht="15" customHeight="1" thickBot="1">
      <c r="A50" s="51">
        <f>B50-$A$2</f>
        <v/>
      </c>
      <c r="B50" s="3" t="n">
        <v>47330</v>
      </c>
      <c r="C50" s="54" t="n"/>
      <c r="D50" s="54" t="n">
        <v>33980.05716463415</v>
      </c>
      <c r="E50" s="54" t="n"/>
      <c r="F50" s="54" t="n">
        <v>22827.29911848682</v>
      </c>
      <c r="G50" s="54" t="n">
        <v>5751848340.728217</v>
      </c>
      <c r="H50" s="54" t="n">
        <v>817057065.0260465</v>
      </c>
      <c r="N50" s="28" t="n"/>
      <c r="O50" s="28" t="n"/>
      <c r="P50" s="35" t="inlineStr">
        <is>
          <t>15</t>
        </is>
      </c>
      <c r="Q50" s="36">
        <f>IFERROR((Q19-Z19)/Z19,"NA")</f>
        <v/>
      </c>
      <c r="R50" s="36">
        <f>IFERROR((R19-AA19)/AA19,"NA")</f>
        <v/>
      </c>
      <c r="S50" s="36">
        <f>IFERROR((S19-AB19)/AB19,"NA")</f>
        <v/>
      </c>
      <c r="T50" s="28" t="n"/>
      <c r="U50" s="28" t="n"/>
      <c r="V50" s="28" t="n"/>
    </row>
    <row r="51" ht="15" customHeight="1" thickBot="1">
      <c r="A51" s="51">
        <f>B51-$A$2</f>
        <v/>
      </c>
      <c r="B51" s="3" t="n">
        <v>47361</v>
      </c>
      <c r="C51" s="54" t="n"/>
      <c r="D51" s="54" t="n">
        <v>33980.05716463415</v>
      </c>
      <c r="E51" s="54" t="n"/>
      <c r="F51" s="54" t="n">
        <v>22627.61449103394</v>
      </c>
      <c r="G51" s="54" t="n">
        <v>5695996115.377239</v>
      </c>
      <c r="H51" s="54" t="n">
        <v>804485288.9890362</v>
      </c>
      <c r="N51" s="28" t="n"/>
      <c r="O51" s="28" t="n"/>
      <c r="P51" s="35" t="inlineStr">
        <is>
          <t>16</t>
        </is>
      </c>
      <c r="Q51" s="36">
        <f>IFERROR((Q20-Z20)/Z20,"NA")</f>
        <v/>
      </c>
      <c r="R51" s="36">
        <f>IFERROR((R20-AA20)/AA20,"NA")</f>
        <v/>
      </c>
      <c r="S51" s="36">
        <f>IFERROR((S20-AB20)/AB20,"NA")</f>
        <v/>
      </c>
      <c r="T51" s="28" t="n"/>
      <c r="U51" s="28" t="n"/>
      <c r="V51" s="28" t="n"/>
    </row>
    <row r="52" ht="15" customHeight="1" thickBot="1">
      <c r="A52" s="51">
        <f>B52-$A$2</f>
        <v/>
      </c>
      <c r="B52" s="3" t="n">
        <v>47391</v>
      </c>
      <c r="C52" s="54" t="n"/>
      <c r="D52" s="54" t="n">
        <v>33980.05716463415</v>
      </c>
      <c r="E52" s="54" t="n"/>
      <c r="F52" s="54" t="n">
        <v>22427.92986358104</v>
      </c>
      <c r="G52" s="54" t="n">
        <v>5641074760.448778</v>
      </c>
      <c r="H52" s="54" t="n">
        <v>792130267.7112846</v>
      </c>
      <c r="N52" s="28" t="n"/>
      <c r="O52" s="28" t="n"/>
      <c r="P52" s="35" t="inlineStr">
        <is>
          <t>17</t>
        </is>
      </c>
      <c r="Q52" s="36">
        <f>IFERROR((Q21-Z21)/Z21,"NA")</f>
        <v/>
      </c>
      <c r="R52" s="36">
        <f>IFERROR((R21-AA21)/AA21,"NA")</f>
        <v/>
      </c>
      <c r="S52" s="36">
        <f>IFERROR((S21-AB21)/AB21,"NA")</f>
        <v/>
      </c>
      <c r="T52" s="28" t="n"/>
      <c r="U52" s="28" t="n"/>
      <c r="V52" s="28" t="n"/>
    </row>
    <row r="53" ht="15" customHeight="1" thickBot="1">
      <c r="A53" s="51">
        <f>B53-$A$2</f>
        <v/>
      </c>
      <c r="B53" s="3" t="n">
        <v>47422</v>
      </c>
      <c r="C53" s="54" t="n"/>
      <c r="D53" s="54" t="n">
        <v>33980.05716463415</v>
      </c>
      <c r="E53" s="54" t="n"/>
      <c r="F53" s="54" t="n">
        <v>22232.14554698081</v>
      </c>
      <c r="G53" s="54" t="n">
        <v>5586153405.520316</v>
      </c>
      <c r="H53" s="54" t="n">
        <v>779992001.1927918</v>
      </c>
      <c r="N53" s="28" t="n"/>
      <c r="O53" s="28" t="n"/>
      <c r="P53" s="35" t="inlineStr">
        <is>
          <t>18</t>
        </is>
      </c>
      <c r="Q53" s="36">
        <f>IFERROR((Q22-Z22)/Z22,"NA")</f>
        <v/>
      </c>
      <c r="R53" s="36">
        <f>IFERROR((R22-AA22)/AA22,"NA")</f>
        <v/>
      </c>
      <c r="S53" s="36">
        <f>IFERROR((S22-AB22)/AB22,"NA")</f>
        <v/>
      </c>
      <c r="T53" s="28" t="n"/>
      <c r="U53" s="28" t="n"/>
      <c r="V53" s="28" t="n"/>
    </row>
    <row r="54" ht="15" customHeight="1" thickBot="1">
      <c r="A54" s="51">
        <f>B54-$A$2</f>
        <v/>
      </c>
      <c r="B54" s="3" t="n">
        <v>47452</v>
      </c>
      <c r="C54" s="54" t="n"/>
      <c r="D54" s="54" t="n">
        <v>33980.05716463415</v>
      </c>
      <c r="E54" s="54" t="n"/>
      <c r="F54" s="54" t="n">
        <v>22036.36123038058</v>
      </c>
      <c r="G54" s="54" t="n">
        <v>5532162921.014371</v>
      </c>
      <c r="H54" s="54" t="n">
        <v>767962112.0539284</v>
      </c>
      <c r="N54" s="28" t="n"/>
      <c r="O54" s="28" t="n"/>
      <c r="P54" s="35" t="inlineStr">
        <is>
          <t>19</t>
        </is>
      </c>
      <c r="Q54" s="36">
        <f>IFERROR((Q23-Z23)/Z23,"NA")</f>
        <v/>
      </c>
      <c r="R54" s="36">
        <f>IFERROR((R23-AA23)/AA23,"NA")</f>
        <v/>
      </c>
      <c r="S54" s="36">
        <f>IFERROR((S23-AB23)/AB23,"NA")</f>
        <v/>
      </c>
      <c r="T54" s="28" t="n"/>
      <c r="U54" s="28" t="n"/>
      <c r="V54" s="28" t="n"/>
    </row>
    <row r="55" ht="19" customHeight="1" thickBot="1">
      <c r="A55" s="51">
        <f>B55-$A$2</f>
        <v/>
      </c>
      <c r="B55" s="3" t="n">
        <v>47483</v>
      </c>
      <c r="C55" s="54" t="n"/>
      <c r="D55" s="54" t="n">
        <v>33980.05716463415</v>
      </c>
      <c r="E55" s="54" t="n"/>
      <c r="F55" s="54" t="n">
        <v>21841.34568774801</v>
      </c>
      <c r="G55" s="54" t="n">
        <v>5479103306.930942</v>
      </c>
      <c r="H55" s="54" t="n">
        <v>756148977.6743237</v>
      </c>
      <c r="N55" s="28" t="n"/>
      <c r="O55" s="28" t="n"/>
      <c r="P55" s="37" t="inlineStr">
        <is>
          <t>TOTAL</t>
        </is>
      </c>
      <c r="Q55" s="61">
        <f>IFERROR((Q24-Z24),"NA")</f>
        <v/>
      </c>
      <c r="R55" s="61">
        <f>IFERROR((R24-AA24),"NA")</f>
        <v/>
      </c>
      <c r="S55" s="61">
        <f>IFERROR((S24-AB24),"NA")</f>
        <v/>
      </c>
      <c r="T55" s="28" t="n"/>
      <c r="U55" s="28" t="n"/>
      <c r="V55" s="28" t="n"/>
    </row>
    <row r="56" ht="19" customHeight="1" thickBot="1">
      <c r="A56" s="51">
        <f>B56-$A$2</f>
        <v/>
      </c>
      <c r="B56" s="3" t="n">
        <v>47514</v>
      </c>
      <c r="C56" s="54" t="n"/>
      <c r="D56" s="54" t="n">
        <v>33980.05716463415</v>
      </c>
      <c r="E56" s="54" t="n"/>
      <c r="F56" s="54" t="n">
        <v>21649.46168200042</v>
      </c>
      <c r="G56" s="54" t="n">
        <v>5426043692.847512</v>
      </c>
      <c r="H56" s="54" t="n">
        <v>744552598.053978</v>
      </c>
      <c r="N56" s="28" t="n"/>
      <c r="O56" s="28" t="n"/>
      <c r="P56" s="38" t="inlineStr">
        <is>
          <t>TOTAL MM$</t>
        </is>
      </c>
      <c r="Q56" s="61">
        <f>IFERROR((Q25-Z25),"NA")</f>
        <v/>
      </c>
      <c r="R56" s="61">
        <f>IFERROR((R25-AA25),"NA")</f>
        <v/>
      </c>
      <c r="S56" s="61">
        <f>IFERROR((S25-AB25),"NA")</f>
        <v/>
      </c>
      <c r="T56" s="28" t="n"/>
      <c r="U56" s="28" t="n"/>
      <c r="V56" s="28" t="n"/>
    </row>
    <row r="57">
      <c r="A57" s="51">
        <f>B57-$A$2</f>
        <v/>
      </c>
      <c r="B57" s="3" t="n">
        <v>47542</v>
      </c>
      <c r="C57" s="54" t="n"/>
      <c r="D57" s="54" t="n">
        <v>33980.05716463415</v>
      </c>
      <c r="E57" s="54" t="n"/>
      <c r="F57" s="54" t="n">
        <v>21460.70921313784</v>
      </c>
      <c r="G57" s="54" t="n">
        <v>5373914949.1866</v>
      </c>
      <c r="H57" s="54" t="n">
        <v>733064595.8132615</v>
      </c>
      <c r="N57" s="28" t="n"/>
      <c r="O57" s="28" t="n"/>
      <c r="P57" s="28" t="n"/>
      <c r="Q57" s="28" t="n"/>
      <c r="R57" s="28" t="n"/>
      <c r="S57" s="28" t="n"/>
      <c r="T57" s="28" t="n"/>
      <c r="U57" s="28" t="n"/>
      <c r="V57" s="28" t="n"/>
    </row>
    <row r="58">
      <c r="A58" s="51">
        <f>B58-$A$2</f>
        <v/>
      </c>
      <c r="B58" s="3" t="n">
        <v>47573</v>
      </c>
      <c r="C58" s="54" t="n"/>
      <c r="D58" s="54" t="n">
        <v>33980.05716463415</v>
      </c>
      <c r="E58" s="54" t="n"/>
      <c r="F58" s="54" t="n">
        <v>21269.59398135792</v>
      </c>
      <c r="G58" s="54" t="n">
        <v>5321786205.525686</v>
      </c>
      <c r="H58" s="54" t="n">
        <v>721793348.3318039</v>
      </c>
      <c r="N58" s="28" t="n"/>
      <c r="O58" s="28" t="n"/>
      <c r="P58" s="39" t="inlineStr">
        <is>
          <t>Producto</t>
        </is>
      </c>
      <c r="Q58" s="40" t="inlineStr">
        <is>
          <t>TOTAL GESTION</t>
        </is>
      </c>
      <c r="R58" s="40" t="inlineStr">
        <is>
          <t>TOTAL R13</t>
        </is>
      </c>
      <c r="S58" s="40" t="inlineStr">
        <is>
          <t>DIF</t>
        </is>
      </c>
      <c r="T58" s="28" t="n"/>
      <c r="U58" s="28" t="n"/>
      <c r="V58" s="28" t="n"/>
    </row>
    <row r="59" ht="16" customHeight="1">
      <c r="A59" s="51">
        <f>B59-$A$2</f>
        <v/>
      </c>
      <c r="B59" s="3" t="n">
        <v>47603</v>
      </c>
      <c r="C59" s="54" t="n"/>
      <c r="D59" s="54" t="n">
        <v>33980.05716463415</v>
      </c>
      <c r="E59" s="54" t="n"/>
      <c r="F59" s="54" t="n">
        <v>21085.51059731563</v>
      </c>
      <c r="G59" s="54" t="n">
        <v>5270588332.287291</v>
      </c>
      <c r="H59" s="54" t="n">
        <v>710630478.2299758</v>
      </c>
      <c r="N59" s="28" t="n"/>
      <c r="O59" s="28" t="n"/>
      <c r="P59" s="41" t="inlineStr">
        <is>
          <t>CTA. CORRIENTE - CLP</t>
        </is>
      </c>
      <c r="Q59" s="67">
        <f>SUMIFS(DATOS!$C:$C,DATOS!$A:$A,"MDL_MT_CTA. CORRIENTE")</f>
        <v/>
      </c>
      <c r="R59" s="67">
        <f>$Q$24</f>
        <v/>
      </c>
      <c r="S59" s="67">
        <f>ROUND(ABS(Q59-R59),0)</f>
        <v/>
      </c>
      <c r="T59" s="28" t="n"/>
      <c r="U59" s="28" t="n"/>
      <c r="V59" s="28" t="n"/>
      <c r="X59" s="68" t="n"/>
    </row>
    <row r="60" ht="16" customHeight="1">
      <c r="A60" s="51">
        <f>B60-$A$2</f>
        <v/>
      </c>
      <c r="B60" s="3" t="n">
        <v>47634</v>
      </c>
      <c r="C60" s="54" t="n"/>
      <c r="D60" s="54" t="n">
        <v>33980.05716463415</v>
      </c>
      <c r="E60" s="54" t="n"/>
      <c r="F60" s="54" t="n">
        <v>20898.29567638836</v>
      </c>
      <c r="G60" s="54" t="n">
        <v>5219390459.048894</v>
      </c>
      <c r="H60" s="54" t="n">
        <v>699792740.2670357</v>
      </c>
      <c r="N60" s="28" t="n"/>
      <c r="O60" s="28" t="n"/>
      <c r="P60" s="41" t="inlineStr">
        <is>
          <t>CTA. VISTA - CLP</t>
        </is>
      </c>
      <c r="Q60" s="67">
        <f>SUMIFS(DATOS!$C:$C,DATOS!$A:$A,"MDL_MT.CTA. VISTA")</f>
        <v/>
      </c>
      <c r="R60" s="67">
        <f>$R$24</f>
        <v/>
      </c>
      <c r="S60" s="67">
        <f>ROUND(ABS(Q60-R60),0)</f>
        <v/>
      </c>
      <c r="T60" s="28" t="n"/>
      <c r="U60" s="28" t="n"/>
      <c r="V60" s="28" t="n"/>
    </row>
    <row r="61" ht="16" customHeight="1">
      <c r="A61" s="51">
        <f>B61-$A$2</f>
        <v/>
      </c>
      <c r="B61" s="3" t="n">
        <v>47664</v>
      </c>
      <c r="C61" s="54" t="n"/>
      <c r="D61" s="54" t="n">
        <v>33980.05716463415</v>
      </c>
      <c r="E61" s="54" t="n"/>
      <c r="F61" s="54" t="n">
        <v>20717.34382923107</v>
      </c>
      <c r="G61" s="54" t="n">
        <v>5169123456.233013</v>
      </c>
      <c r="H61" s="54" t="n">
        <v>688955002.3040957</v>
      </c>
      <c r="N61" s="28" t="n"/>
      <c r="O61" s="28" t="n"/>
      <c r="P61" s="41" t="inlineStr">
        <is>
          <t xml:space="preserve"> AHORRO - CLF</t>
        </is>
      </c>
      <c r="Q61" s="67">
        <f>SUMIFS(DATOS!$C:$C,DATOS!$A:$A,"MDL_MT_CTA. AHORRO")</f>
        <v/>
      </c>
      <c r="R61" s="67">
        <f>$S$24</f>
        <v/>
      </c>
      <c r="S61" s="67">
        <f>ROUND(ABS(Q61-R61),0)</f>
        <v/>
      </c>
      <c r="T61" s="28" t="n"/>
      <c r="U61" s="28" t="n"/>
      <c r="V61" s="28" t="n"/>
      <c r="X61" s="51" t="n"/>
    </row>
    <row r="62">
      <c r="A62" s="51">
        <f>B62-$A$2</f>
        <v/>
      </c>
      <c r="B62" s="3" t="n">
        <v>47695</v>
      </c>
      <c r="C62" s="54" t="n"/>
      <c r="D62" s="54" t="n">
        <v>33980.05716463415</v>
      </c>
      <c r="E62" s="54" t="n"/>
      <c r="F62" s="54" t="n">
        <v>20534.02921915645</v>
      </c>
      <c r="G62" s="54" t="n">
        <v>5119787323.839649</v>
      </c>
      <c r="H62" s="54" t="n">
        <v>678334019.1004145</v>
      </c>
      <c r="N62" s="28" t="n"/>
      <c r="O62" s="28" t="n"/>
      <c r="P62" s="28" t="n"/>
      <c r="Q62" s="28" t="n"/>
      <c r="R62" s="28" t="n"/>
      <c r="S62" s="28" t="n"/>
      <c r="T62" s="28" t="n"/>
      <c r="U62" s="28" t="n"/>
      <c r="V62" s="28" t="n"/>
    </row>
    <row r="63">
      <c r="A63" s="51">
        <f>B63-$A$2</f>
        <v/>
      </c>
      <c r="B63" s="3" t="n">
        <v>47726</v>
      </c>
      <c r="C63" s="54" t="n"/>
      <c r="D63" s="54" t="n">
        <v>33980.05716463415</v>
      </c>
      <c r="E63" s="54" t="n"/>
      <c r="F63" s="54" t="n">
        <v>20353.84614596682</v>
      </c>
      <c r="G63" s="54" t="n">
        <v>5070451191.446285</v>
      </c>
      <c r="H63" s="54" t="n">
        <v>667929790.6559922</v>
      </c>
      <c r="N63" s="28" t="n"/>
      <c r="O63" s="28" t="n"/>
      <c r="P63" s="39" t="inlineStr">
        <is>
          <t>PmP</t>
        </is>
      </c>
      <c r="Q63" s="40" t="inlineStr">
        <is>
          <t>GESTION</t>
        </is>
      </c>
      <c r="R63" s="40" t="inlineStr">
        <is>
          <t>MT_R13</t>
        </is>
      </c>
      <c r="S63" s="28" t="n"/>
      <c r="T63" s="28" t="n"/>
      <c r="U63" s="28" t="n"/>
      <c r="V63" s="28" t="n"/>
      <c r="X63" s="51" t="n"/>
    </row>
    <row r="64">
      <c r="A64" s="51">
        <f>B64-$A$2</f>
        <v/>
      </c>
      <c r="B64" s="3" t="n">
        <v>47756</v>
      </c>
      <c r="C64" s="54" t="n"/>
      <c r="D64" s="54" t="n">
        <v>33980.05716463415</v>
      </c>
      <c r="E64" s="54" t="n"/>
      <c r="F64" s="54" t="n">
        <v>20174.43184674486</v>
      </c>
      <c r="G64" s="54" t="n">
        <v>5021115059.052922</v>
      </c>
      <c r="H64" s="54" t="n">
        <v>657633939.5911992</v>
      </c>
      <c r="N64" s="28" t="n"/>
      <c r="O64" s="28" t="n"/>
      <c r="P64" s="41" t="inlineStr">
        <is>
          <t>CTA. CORRIENTE - CLP</t>
        </is>
      </c>
      <c r="Q64" s="69">
        <f>SUMIFS(DATOS!$D:$D,DATOS!$A:$A,"MDL_MT_CTA. CORRIENTE",DATOS!$B:$B,"MDL_CTA. CORRIENTE PERSONAS_CORE_CORE")</f>
        <v/>
      </c>
      <c r="R64" s="69">
        <f>SUMIFS(DATOS!$D:$D,DATOS!$A:$A,"MDL_MT_R13_CTA. CORRIENTE",DATOS!$B:$B,"MDL_MT_R13_CTA. CORRIENTE PERSONAS_CORE")</f>
        <v/>
      </c>
      <c r="S64" s="28" t="n"/>
      <c r="T64" s="28" t="n"/>
      <c r="U64" s="28" t="n"/>
      <c r="V64" s="28" t="n"/>
    </row>
    <row r="65">
      <c r="A65" s="51">
        <f>B65-$A$2</f>
        <v/>
      </c>
      <c r="B65" s="3" t="n">
        <v>47787</v>
      </c>
      <c r="C65" s="54" t="n"/>
      <c r="D65" s="54" t="n">
        <v>33980.05716463415</v>
      </c>
      <c r="E65" s="54" t="n"/>
      <c r="F65" s="54" t="n">
        <v>19997.38031044022</v>
      </c>
      <c r="G65" s="54" t="n">
        <v>4972709797.082074</v>
      </c>
      <c r="H65" s="54" t="n">
        <v>647554843.285665</v>
      </c>
      <c r="N65" s="28" t="n"/>
      <c r="O65" s="28" t="n"/>
      <c r="P65" s="41" t="inlineStr">
        <is>
          <t>CTA. VISTA - CLP</t>
        </is>
      </c>
      <c r="Q65" s="69">
        <f>SUMIFS(DATOS!$D:$D,DATOS!$A:$A,"MDL_MT.CTA. VISTA",DATOS!$B:$B,"MDL_CTA. VISTA_CORE_CORE")</f>
        <v/>
      </c>
      <c r="R65" s="69">
        <f>SUMIFS(DATOS!$D:$D,DATOS!$A:$A,"MDL_MT_R13_CTA. VISTA",DATOS!$B:$B,"MDL_MT_R13_CTA. VISTA_CORE")</f>
        <v/>
      </c>
      <c r="S65" s="28" t="n"/>
      <c r="T65" s="28" t="n"/>
      <c r="U65" s="28" t="n"/>
      <c r="V65" s="28" t="n"/>
    </row>
    <row r="66">
      <c r="A66" s="51">
        <f>B66-$A$2</f>
        <v/>
      </c>
      <c r="B66" s="3" t="n">
        <v>47817</v>
      </c>
      <c r="C66" s="54" t="n"/>
      <c r="D66" s="54" t="n">
        <v>33980.05716463415</v>
      </c>
      <c r="E66" s="54" t="n"/>
      <c r="F66" s="54" t="n">
        <v>19821.8663220709</v>
      </c>
      <c r="G66" s="54" t="n">
        <v>4924304535.111227</v>
      </c>
      <c r="H66" s="54" t="n">
        <v>637584124.3597602</v>
      </c>
      <c r="N66" s="28" t="n"/>
      <c r="O66" s="28" t="n"/>
      <c r="P66" s="41" t="inlineStr">
        <is>
          <t xml:space="preserve"> AHORRO G. DIF - CLF</t>
        </is>
      </c>
      <c r="Q66" s="69">
        <f>SUMIFS(DATOS!$D:$D,DATOS!$A:$A,"MDL_MT_CTA. AHORRO",DATOS!$B:$B,"MDL_CTA. AHORRO G.DIF_CORE_CORE")</f>
        <v/>
      </c>
      <c r="R66" s="69">
        <f>SUMIFS(DATOS!$D:$D,DATOS!$A:$A,"MDL_MT_R13_CTA. AHORRO",DATOS!$B:$B,"MDL_MT_R13_CTA. AHORRO G.DIF_CORE")</f>
        <v/>
      </c>
      <c r="S66" s="28" t="n"/>
      <c r="T66" s="28" t="n"/>
      <c r="U66" s="28" t="n"/>
      <c r="V66" s="28" t="n"/>
      <c r="X66" s="51" t="n"/>
    </row>
    <row r="67">
      <c r="A67" s="51">
        <f>B67-$A$2</f>
        <v/>
      </c>
      <c r="B67" s="3" t="n">
        <v>47848</v>
      </c>
      <c r="C67" s="54" t="n"/>
      <c r="D67" s="54" t="n">
        <v>33980.05716463415</v>
      </c>
      <c r="E67" s="54" t="n"/>
      <c r="F67" s="54" t="n">
        <v>19649.48387058658</v>
      </c>
      <c r="G67" s="54" t="n">
        <v>4876830143.562895</v>
      </c>
      <c r="H67" s="54" t="n">
        <v>627830160.1931142</v>
      </c>
      <c r="N67" s="28" t="n"/>
      <c r="O67" s="28" t="n"/>
      <c r="P67" s="41" t="inlineStr">
        <is>
          <t xml:space="preserve"> AHORRO G. INC - CLF</t>
        </is>
      </c>
      <c r="Q67" s="69">
        <f>SUMIFS(DATOS!$D:$D,DATOS!$A:$A,"MDL_MT_CTA. AHORRO",DATOS!$B:$B,"MDL_CTA. AHORRO G.INC_CORE_CORE")</f>
        <v/>
      </c>
      <c r="R67" s="69">
        <f>SUMIFS(DATOS!$D:$D,DATOS!$A:$A,"MDL_MT_R13_CTA. AHORRO",DATOS!$B:$B,"MDL_MT_R13_CTA. AHORRO G.INC_CORE")</f>
        <v/>
      </c>
      <c r="S67" s="28" t="n"/>
      <c r="T67" s="28" t="n"/>
      <c r="U67" s="28" t="n"/>
      <c r="V67" s="28" t="n"/>
    </row>
    <row r="68">
      <c r="A68" s="51">
        <f>B68-$A$2</f>
        <v/>
      </c>
      <c r="B68" s="3" t="n">
        <v>47879</v>
      </c>
      <c r="C68" s="54" t="n"/>
      <c r="D68" s="54" t="n">
        <v>33980.05716463415</v>
      </c>
      <c r="E68" s="54" t="n"/>
      <c r="F68" s="54" t="n">
        <v>19477.10141910226</v>
      </c>
      <c r="G68" s="54" t="n">
        <v>4830286622.43708</v>
      </c>
      <c r="H68" s="54" t="n">
        <v>618184573.4060975</v>
      </c>
      <c r="N68" s="28" t="n"/>
      <c r="O68" s="28" t="n"/>
      <c r="P68" s="28" t="n"/>
      <c r="Q68" s="28" t="n"/>
      <c r="R68" s="28" t="n"/>
      <c r="S68" s="28" t="n"/>
      <c r="T68" s="28" t="n"/>
      <c r="U68" s="28" t="n"/>
      <c r="V68" s="28" t="n"/>
    </row>
    <row r="69">
      <c r="A69" s="51">
        <f>B69-$A$2</f>
        <v/>
      </c>
      <c r="B69" s="3" t="n">
        <v>47907</v>
      </c>
      <c r="C69" s="54" t="n"/>
      <c r="D69" s="54" t="n">
        <v>33980.05716463415</v>
      </c>
      <c r="E69" s="54" t="n"/>
      <c r="F69" s="54" t="n">
        <v>19304.71896761793</v>
      </c>
      <c r="G69" s="54" t="n">
        <v>4783743101.311266</v>
      </c>
      <c r="H69" s="54" t="n">
        <v>608647363.9987104</v>
      </c>
      <c r="N69" s="28" t="n"/>
      <c r="O69" s="28" t="n"/>
      <c r="S69" s="28" t="n"/>
      <c r="T69" s="28" t="n"/>
      <c r="U69" s="28" t="n"/>
      <c r="V69" s="28" t="n"/>
    </row>
    <row r="70">
      <c r="A70" s="51">
        <f>B70-$A$2</f>
        <v/>
      </c>
      <c r="B70" s="3" t="n">
        <v>47938</v>
      </c>
      <c r="C70" s="54" t="n"/>
      <c r="D70" s="54" t="n">
        <v>33980.05716463415</v>
      </c>
      <c r="E70" s="54" t="n"/>
      <c r="F70" s="54" t="n">
        <v>19136.23682698626</v>
      </c>
      <c r="G70" s="54" t="n">
        <v>4737199580.185451</v>
      </c>
      <c r="H70" s="54" t="n">
        <v>599326909.350582</v>
      </c>
      <c r="N70" s="28" t="n"/>
      <c r="O70" s="28" t="n"/>
      <c r="P70" s="39" t="inlineStr">
        <is>
          <t>Controles R13</t>
        </is>
      </c>
      <c r="Q70" s="40" t="inlineStr">
        <is>
          <t>|INPUT - OUTPUT |&lt; 1</t>
        </is>
      </c>
      <c r="R70" s="40" t="inlineStr">
        <is>
          <t>CORE COMO %FLUJO</t>
        </is>
      </c>
      <c r="S70" s="40" t="inlineStr">
        <is>
          <t>PmP &lt; 4.5Y</t>
        </is>
      </c>
      <c r="T70" s="28" t="n"/>
      <c r="U70" s="28" t="n"/>
      <c r="V70" s="28" t="n"/>
    </row>
    <row r="71">
      <c r="A71" s="51">
        <f>B71-$A$2</f>
        <v/>
      </c>
      <c r="B71" s="3" t="n">
        <v>47968</v>
      </c>
      <c r="C71" s="54" t="n"/>
      <c r="D71" s="54" t="n">
        <v>33980.05716463415</v>
      </c>
      <c r="E71" s="54" t="n"/>
      <c r="F71" s="54" t="n">
        <v>18968.52346032225</v>
      </c>
      <c r="G71" s="54" t="n">
        <v>4691586929.482152</v>
      </c>
      <c r="H71" s="54" t="n">
        <v>590006454.7024536</v>
      </c>
      <c r="N71" s="28" t="n"/>
      <c r="O71" s="28" t="n"/>
      <c r="P71" s="41" t="inlineStr">
        <is>
          <t>CTA. CORRIENTE - CLP</t>
        </is>
      </c>
      <c r="Q71" s="70">
        <f>ABS(SUMIFS(DATOS!$C:$C,DATOS!$A:$A,"MDL_MT_R13_CTA. CORRIENTE")-SUMIF(DATOS!$G:$G,"INPT_CTA_CTE",DATOS!$C:$C))</f>
        <v/>
      </c>
      <c r="R71" s="47">
        <f>SUMIFS(DATOS!$C:$C,DATOS!$A:$A,"MDL_MT_R13_CTA. CORRIENTE",DATOS!$B:$B,"MDL_MT_R13_CTA. CORRIENTE PERSONAS_CORE")/ SUMIFS(DATOS!$C:$C,DATOS!$A:$A,"MDL_MT_R13_CTA. CORRIENTE")</f>
        <v/>
      </c>
      <c r="S71" s="41">
        <f>R64&lt;4.5</f>
        <v/>
      </c>
      <c r="T71" s="28" t="n"/>
      <c r="U71" s="28" t="n"/>
      <c r="V71" s="28" t="n"/>
    </row>
    <row r="72">
      <c r="A72" s="51">
        <f>B72-$A$2</f>
        <v/>
      </c>
      <c r="B72" s="3" t="n">
        <v>47999</v>
      </c>
      <c r="C72" s="54" t="n"/>
      <c r="D72" s="54" t="n">
        <v>33980.05716463415</v>
      </c>
      <c r="E72" s="54" t="n"/>
      <c r="F72" s="54" t="n">
        <v>18800.81009365823</v>
      </c>
      <c r="G72" s="54" t="n">
        <v>4645974278.778852</v>
      </c>
      <c r="H72" s="54" t="n">
        <v>581011132.1932133</v>
      </c>
      <c r="N72" s="28" t="n"/>
      <c r="O72" s="28" t="n"/>
      <c r="P72" s="41" t="inlineStr">
        <is>
          <t>CTA. VISTA - CLP</t>
        </is>
      </c>
      <c r="Q72" s="70">
        <f>ABS(SUMIFS(DATOS!$C:$C,DATOS!$A:$A,"MDL_MT_R13_CTA. VISTA")-SUMIF(DATOS!$G:$G,"INPT_CTA_VTA",DATOS!$C:$C))</f>
        <v/>
      </c>
      <c r="R72" s="47">
        <f>SUMIFS(DATOS!$C:$C,DATOS!$A:$A,"MDL_MT_R13_CTA. VISTA",DATOS!$B:$B,"MDL_MT_R13_CTA. VISTA_CORE")/ SUMIFS(DATOS!$C:$C,DATOS!$A:$A,"MDL_MT_R13_CTA. VISTA")</f>
        <v/>
      </c>
      <c r="S72" s="41">
        <f>R65&lt;4.5</f>
        <v/>
      </c>
      <c r="T72" s="28" t="n"/>
      <c r="U72" s="28" t="n"/>
      <c r="V72" s="28" t="n"/>
    </row>
    <row r="73">
      <c r="A73" s="51">
        <f>B73-$A$2</f>
        <v/>
      </c>
      <c r="B73" s="3" t="n">
        <v>48029</v>
      </c>
      <c r="C73" s="54" t="n"/>
      <c r="D73" s="54" t="n">
        <v>33980.05716463415</v>
      </c>
      <c r="E73" s="54" t="n"/>
      <c r="F73" s="54" t="n">
        <v>2122295.016707924</v>
      </c>
      <c r="G73" s="54" t="n">
        <v>4601292498.498071</v>
      </c>
      <c r="H73" s="54" t="n">
        <v>572015809.6839732</v>
      </c>
      <c r="N73" s="28" t="n"/>
      <c r="O73" s="28" t="n"/>
      <c r="P73" s="41" t="inlineStr">
        <is>
          <t xml:space="preserve"> AHORRO G. DIF - CLF</t>
        </is>
      </c>
      <c r="Q73" s="70">
        <f>ABS((SUMIFS(DATOS!$C:$C,DATOS!$A:$A,"MDL_MT_R13_CTA. AHORRO")-SUMIFS(DATOS!$C:$C,DATOS!$A:$A,"MDL_MT_R13_CTA. AHORRO",DATOS!$B:$B,"MDL_MT_R13_CTA. AHORRO G.INC_CORE")-SUMIFS(DATOS!$C:$C,DATOS!$A:$A,"MDL_MT_R13_CTA. AHORRO",DATOS!$B:$B,"MDL_MT_R13_CTA. AHORRO G.INC_NONCORE")) -SUMIF(DATOS!$G:$G,"INPT_AGD",DATOS!$C:$C))</f>
        <v/>
      </c>
      <c r="R73" s="47">
        <f>SUMIFS(DATOS!$C:$C,DATOS!$A:$A,"MDL_MT_R13_CTA. AHORRO",DATOS!$B:$B,"MDL_MT_R13_CTA. AHORRO G.DIF_CORE")/ (SUMIFS(DATOS!$C:$C,DATOS!$A:$A,"MDL_MT_R13_CTA. AHORRO")-SUMIFS(DATOS!$C:$C,DATOS!$A:$A,"MDL_MT_R13_CTA. AHORRO",DATOS!$B:$B,"MDL_MT_R13_CTA. AHORRO G.INC_CORE")-SUMIFS(DATOS!$C:$C,DATOS!$A:$A,"MDL_MT_R13_CTA. AHORRO",DATOS!$B:$B,"MDL_MT_R13_CTA. AHORRO G.INC_NONCORE"))</f>
        <v/>
      </c>
      <c r="S73" s="41">
        <f>R66&lt;4.5</f>
        <v/>
      </c>
      <c r="T73" s="28" t="n"/>
      <c r="U73" s="28" t="n"/>
      <c r="V73" s="28" t="n"/>
    </row>
    <row r="74">
      <c r="A74" s="51">
        <f>B74-$A$2</f>
        <v/>
      </c>
      <c r="B74" s="3" t="n">
        <v>48060</v>
      </c>
      <c r="C74" s="54" t="n"/>
      <c r="D74" s="54" t="n">
        <v>33980.05716463415</v>
      </c>
      <c r="E74" s="54" t="n"/>
      <c r="F74" s="54" t="n"/>
      <c r="G74" s="54" t="n">
        <v>4556610718.217288</v>
      </c>
      <c r="H74" s="54" t="n">
        <v>563237241.9339918</v>
      </c>
      <c r="N74" s="28" t="n"/>
      <c r="O74" s="28" t="n"/>
      <c r="P74" s="41" t="inlineStr">
        <is>
          <t xml:space="preserve"> AHORRO G. INC - CLF</t>
        </is>
      </c>
      <c r="Q74" s="70">
        <f>ABS((SUMIFS(DATOS!$C:$C,DATOS!$A:$A,"MDL_MT_R13_CTA. AHORRO")-SUMIFS(DATOS!$C:$C,DATOS!$A:$A,"MDL_MT_R13_CTA. AHORRO",DATOS!$B:$B,"MDL_MT_R13_CTA. AHORRO G.DIF_CORE")-SUMIFS(DATOS!$C:$C,DATOS!$A:$A,"MDL_MT_R13_CTA. AHORRO",DATOS!$B:$B,"MDL_MT_R13_CTA. AHORRO G.DIF_NONCORE")) -SUMIF(DATOS!$G:$G,"INPT_AGI",DATOS!$C:$C))</f>
        <v/>
      </c>
      <c r="R74" s="47">
        <f>SUMIFS(DATOS!$C:$C,DATOS!$A:$A,"MDL_MT_R13_CTA. AHORRO",DATOS!$B:$B,"MDL_MT_R13_CTA. AHORRO G.INC_CORE")/ (SUMIFS(DATOS!$C:$C,DATOS!$A:$A,"MDL_MT_R13_CTA. AHORRO")-SUMIFS(DATOS!$C:$C,DATOS!$A:$A,"MDL_MT_R13_CTA. AHORRO",DATOS!$B:$B,"MDL_MT_R13_CTA. AHORRO G.DIF_CORE")-SUMIFS(DATOS!$C:$C,DATOS!$A:$A,"MDL_MT_R13_CTA. AHORRO",DATOS!$B:$B,"MDL_MT_R13_CTA. AHORRO G.DIF_NONCORE"))</f>
        <v/>
      </c>
      <c r="S74" s="41">
        <f>R67&lt;4.5</f>
        <v/>
      </c>
      <c r="T74" s="28" t="n"/>
      <c r="U74" s="28" t="n"/>
      <c r="V74" s="28" t="n"/>
    </row>
    <row r="75">
      <c r="A75" s="51">
        <f>B75-$A$2</f>
        <v/>
      </c>
      <c r="B75" s="3" t="n">
        <v>48091</v>
      </c>
      <c r="C75" s="54" t="n"/>
      <c r="D75" s="54" t="n">
        <v>33980.05716463415</v>
      </c>
      <c r="E75" s="54" t="n"/>
      <c r="F75" s="54" t="n"/>
      <c r="G75" s="54" t="n">
        <v>4512859808.359022</v>
      </c>
      <c r="H75" s="54" t="n">
        <v>554567051.5636398</v>
      </c>
      <c r="N75" s="28" t="n"/>
      <c r="O75" s="28" t="n"/>
      <c r="R75" s="28" t="n"/>
      <c r="S75" s="28" t="n"/>
      <c r="T75" s="28" t="n"/>
      <c r="U75" s="28" t="n"/>
      <c r="V75" s="28" t="n"/>
    </row>
    <row r="76">
      <c r="A76" s="51">
        <f>B76-$A$2</f>
        <v/>
      </c>
      <c r="B76" s="3" t="n">
        <v>48121</v>
      </c>
      <c r="C76" s="54" t="n"/>
      <c r="D76" s="54" t="n">
        <v>33980.05716463415</v>
      </c>
      <c r="E76" s="54" t="n"/>
      <c r="F76" s="54" t="n"/>
      <c r="G76" s="54" t="n">
        <v>4469108898.500755</v>
      </c>
      <c r="H76" s="54" t="n">
        <v>546005238.5729171</v>
      </c>
      <c r="N76" s="28" t="n"/>
      <c r="O76" s="28" t="n"/>
      <c r="P76" s="39" t="inlineStr">
        <is>
          <t>Controles Gestion</t>
        </is>
      </c>
      <c r="Q76" s="40" t="inlineStr">
        <is>
          <t>CORE =&lt; FLUJO</t>
        </is>
      </c>
      <c r="R76" s="40" t="inlineStr">
        <is>
          <t>CORE COMO %FLUJO</t>
        </is>
      </c>
      <c r="S76" s="28" t="n"/>
      <c r="T76" s="28" t="n"/>
      <c r="U76" s="28" t="n"/>
      <c r="V76" s="28" t="n"/>
    </row>
    <row r="77">
      <c r="A77" s="51">
        <f>B77-$A$2</f>
        <v/>
      </c>
      <c r="B77" s="3" t="n">
        <v>48152</v>
      </c>
      <c r="C77" s="54" t="n"/>
      <c r="D77" s="54" t="n">
        <v>33980.05716463415</v>
      </c>
      <c r="E77" s="54" t="n"/>
      <c r="F77" s="54" t="n"/>
      <c r="G77" s="54" t="n">
        <v>458530014463.9243</v>
      </c>
      <c r="H77" s="54" t="n">
        <v>537660180.3414534</v>
      </c>
      <c r="N77" s="28" t="n"/>
      <c r="O77" s="28" t="n"/>
      <c r="P77" s="41" t="inlineStr">
        <is>
          <t>CTA. CORRIENTE - CLP</t>
        </is>
      </c>
      <c r="Q77" s="41">
        <f>SUMIFS(DATOS!$C:$C,DATOS!$A:$A,"MDL_MT_CTA. CORRIENTE",DATOS!$B:$B,"MDL_CTA. CORRIENTE PERSONAS_CORE_CORE")&lt;=SUMIFS(DATOS!$C:$C,DATOS!$A:$A,"MDL_MT_CTA. CORRIENTE")</f>
        <v/>
      </c>
      <c r="R77" s="47">
        <f>SUMIFS(DATOS!$C:$C,DATOS!$A:$A,"MDL_MT_CTA. CORRIENTE",DATOS!$B:$B,"MDL_CTA. CORRIENTE PERSONAS_CORE_CORE")/SUMIFS(DATOS!$C:$C,DATOS!$A:$A,"MDL_MT_CTA. CORRIENTE")</f>
        <v/>
      </c>
      <c r="S77" s="28" t="n"/>
      <c r="T77" s="28" t="n"/>
      <c r="U77" s="28" t="n"/>
      <c r="V77" s="28" t="n"/>
    </row>
    <row r="78">
      <c r="A78" s="51">
        <f>B78-$A$2</f>
        <v/>
      </c>
      <c r="B78" s="3" t="n">
        <v>48182</v>
      </c>
      <c r="C78" s="54" t="n"/>
      <c r="D78" s="54" t="n">
        <v>33980.05716463415</v>
      </c>
      <c r="E78" s="54" t="n"/>
      <c r="F78" s="54" t="n"/>
      <c r="G78" s="54" t="n"/>
      <c r="H78" s="54" t="n">
        <v>529423499.4896189</v>
      </c>
      <c r="N78" s="28" t="n"/>
      <c r="O78" s="28" t="n"/>
      <c r="P78" s="41" t="inlineStr">
        <is>
          <t>CTA. VISTA - CLP</t>
        </is>
      </c>
      <c r="Q78" s="41">
        <f>SUMIFS(DATOS!$C:$C,DATOS!$A:$A,"MDL_MT.CTA. VISTA",DATOS!$B:$B,"MDL_CTA. VISTA_CORE_CORE")&lt;=SUMIFS(DATOS!$C:$C,DATOS!$A:$A,"MDL_MT.CTA. VISTA")</f>
        <v/>
      </c>
      <c r="R78" s="47">
        <f>SUMIFS(DATOS!$C:$C,DATOS!$A:$A,"MDL_MT.CTA. VISTA",DATOS!$B:$B,"MDL_CTA. VISTA_CORE_CORE")/SUMIFS(DATOS!$C:$C,DATOS!$A:$A,"MDL_MT.CTA. VISTA")</f>
        <v/>
      </c>
      <c r="S78" s="28" t="n"/>
      <c r="T78" s="28" t="n"/>
      <c r="U78" s="28" t="n"/>
      <c r="V78" s="28" t="n"/>
    </row>
    <row r="79">
      <c r="A79" s="51">
        <f>B79-$A$2</f>
        <v/>
      </c>
      <c r="B79" s="3" t="n">
        <v>48213</v>
      </c>
      <c r="C79" s="54" t="n"/>
      <c r="D79" s="54" t="n">
        <v>33980.05716463415</v>
      </c>
      <c r="E79" s="54" t="n"/>
      <c r="F79" s="54" t="n"/>
      <c r="G79" s="54" t="n"/>
      <c r="H79" s="54" t="n">
        <v>521295196.017414</v>
      </c>
      <c r="N79" s="28" t="n"/>
      <c r="O79" s="28" t="n"/>
      <c r="P79" s="41" t="inlineStr">
        <is>
          <t xml:space="preserve"> AHORRO G. DIF - CLF</t>
        </is>
      </c>
      <c r="Q79" s="41">
        <f>SUMIFS(DATOS!$C:$C,DATOS!$A:$A,"MDL_MT_CTA. AHORRO",DATOS!$B:$B,"MDL_CTA. AHORRO G.DIF_CORE_CORE")&lt;=SUMIFS(DATOS!$C:$C,DATOS!$A:$A,"MDL_MT_CTA. AHORRO",DATOS!$B:$B,"MDL_CTA. AHORRO G.DIF_CORE_CORE")+SUMIFS(DATOS!$C:$C,DATOS!$A:$A,"MDL_MT_CTA. AHORRO",DATOS!$B:$B,"MDL_CTA. AHORRO G.DIF")</f>
        <v/>
      </c>
      <c r="R79" s="47">
        <f>SUMIFS(DATOS!$C:$C,DATOS!$A:$A,"MDL_MT_CTA. AHORRO",DATOS!$B:$B,"MDL_CTA. AHORRO G.DIF_CORE_CORE")/(SUMIFS(DATOS!$C:$C,DATOS!$A:$A,"MDL_MT_CTA. AHORRO",DATOS!$B:$B,"MDL_CTA. AHORRO G.DIF_CORE_CORE")+SUMIFS(DATOS!$C:$C,DATOS!$A:$A,"MDL_MT_CTA. AHORRO",DATOS!$B:$B,"MDL_CTA. AHORRO G.DIF"))</f>
        <v/>
      </c>
      <c r="S79" s="28" t="n"/>
      <c r="T79" s="28" t="n"/>
      <c r="U79" s="28" t="n"/>
      <c r="V79" s="28" t="n"/>
    </row>
    <row r="80">
      <c r="A80" s="51">
        <f>B80-$A$2</f>
        <v/>
      </c>
      <c r="B80" s="3" t="n">
        <v>48244</v>
      </c>
      <c r="C80" s="54" t="n"/>
      <c r="D80" s="54" t="n">
        <v>33980.05716463415</v>
      </c>
      <c r="E80" s="54" t="n"/>
      <c r="F80" s="54" t="n"/>
      <c r="G80" s="54" t="n"/>
      <c r="H80" s="54" t="n">
        <v>513275269.9248384</v>
      </c>
      <c r="N80" s="28" t="n"/>
      <c r="O80" s="28" t="n"/>
      <c r="P80" s="41" t="inlineStr">
        <is>
          <t xml:space="preserve"> AHORRO G. INC - CLF</t>
        </is>
      </c>
      <c r="Q80" s="41">
        <f>SUMIFS(DATOS!$C:$C,DATOS!$A:$A,"MDL_MT_CTA. AHORRO",DATOS!$B:$B,"MDL_CTA. AHORRO G.INC_CORE_CORE")&lt;=SUMIFS(DATOS!$C:$C,DATOS!$A:$A,"MDL_MT_CTA. AHORRO",DATOS!$B:$B,"MDL_CTA. AHORRO G.INC_CORE_CORE")+SUMIFS(DATOS!$C:$C,DATOS!$A:$A,"MDL_MT_CTA. AHORRO",DATOS!$B:$B,"MDL_CTA. AHORRO G.INC")</f>
        <v/>
      </c>
      <c r="R80" s="47">
        <f>SUMIFS(DATOS!$C:$C,DATOS!$A:$A,"MDL_MT_CTA. AHORRO",DATOS!$B:$B,"MDL_CTA. AHORRO G.INC_CORE_CORE")/(SUMIFS(DATOS!$C:$C,DATOS!$A:$A,"MDL_MT_CTA. AHORRO",DATOS!$B:$B,"MDL_CTA. AHORRO G.INC_CORE_CORE")+SUMIFS(DATOS!$C:$C,DATOS!$A:$A,"MDL_MT_CTA. AHORRO",DATOS!$B:$B,"MDL_CTA. AHORRO G.INC"))</f>
        <v/>
      </c>
      <c r="S80" s="28" t="n"/>
      <c r="T80" s="28" t="n"/>
      <c r="U80" s="28" t="n"/>
      <c r="V80" s="28" t="n"/>
    </row>
    <row r="81">
      <c r="A81" s="51">
        <f>B81-$A$2</f>
        <v/>
      </c>
      <c r="B81" s="3" t="n">
        <v>48273</v>
      </c>
      <c r="C81" s="54" t="n"/>
      <c r="D81" s="54" t="n">
        <v>33980.05716463415</v>
      </c>
      <c r="E81" s="54" t="n"/>
      <c r="F81" s="54" t="n"/>
      <c r="G81" s="54" t="n"/>
      <c r="H81" s="54" t="n">
        <v>505363721.2118921</v>
      </c>
      <c r="N81" s="28" t="n"/>
      <c r="O81" s="28" t="n"/>
      <c r="P81" s="28" t="n"/>
      <c r="Q81" s="28" t="n"/>
      <c r="R81" s="28" t="n"/>
      <c r="S81" s="28" t="n"/>
      <c r="T81" s="28" t="n"/>
      <c r="U81" s="28" t="n"/>
      <c r="V81" s="28" t="n"/>
    </row>
    <row r="82">
      <c r="A82" s="51">
        <f>B82-$A$2</f>
        <v/>
      </c>
      <c r="B82" s="3" t="n">
        <v>48304</v>
      </c>
      <c r="C82" s="54" t="n"/>
      <c r="D82" s="54" t="n">
        <v>33980.05716463415</v>
      </c>
      <c r="E82" s="54" t="n"/>
      <c r="F82" s="54" t="n"/>
      <c r="G82" s="54" t="n"/>
      <c r="H82" s="54" t="n">
        <v>497560549.8785753</v>
      </c>
      <c r="N82" s="28" t="n"/>
      <c r="O82" s="28" t="n"/>
      <c r="P82" s="28" t="n"/>
      <c r="Q82" s="28" t="n"/>
      <c r="R82" s="28" t="n"/>
      <c r="S82" s="28" t="n"/>
      <c r="T82" s="28" t="n"/>
      <c r="U82" s="28" t="n"/>
      <c r="V82" s="28" t="n"/>
    </row>
    <row r="83">
      <c r="A83" s="51">
        <f>B83-$A$2</f>
        <v/>
      </c>
      <c r="B83" s="3" t="n">
        <v>48334</v>
      </c>
      <c r="C83" s="54" t="n"/>
      <c r="D83" s="54" t="n">
        <v>33980.05716463415</v>
      </c>
      <c r="E83" s="54" t="n"/>
      <c r="F83" s="54" t="n"/>
      <c r="G83" s="54" t="n"/>
      <c r="H83" s="54" t="n">
        <v>489865755.924888</v>
      </c>
      <c r="N83" s="28" t="n"/>
      <c r="O83" s="28" t="n"/>
      <c r="P83" s="28" t="n"/>
      <c r="Q83" s="28" t="n"/>
      <c r="R83" s="28" t="n"/>
      <c r="S83" s="28" t="n"/>
      <c r="T83" s="28" t="n"/>
      <c r="U83" s="28" t="n"/>
      <c r="V83" s="28" t="n"/>
    </row>
    <row r="84">
      <c r="A84" s="51">
        <f>B84-$A$2</f>
        <v/>
      </c>
      <c r="B84" s="3" t="n">
        <v>48365</v>
      </c>
      <c r="C84" s="54" t="n"/>
      <c r="D84" s="54" t="n">
        <v>33980.05716463415</v>
      </c>
      <c r="E84" s="54" t="n"/>
      <c r="F84" s="54" t="n"/>
      <c r="G84" s="54" t="n"/>
      <c r="H84" s="54" t="n">
        <v>482387716.7304594</v>
      </c>
    </row>
    <row r="85">
      <c r="A85" s="51">
        <f>B85-$A$2</f>
        <v/>
      </c>
      <c r="B85" s="3" t="n">
        <v>48395</v>
      </c>
      <c r="C85" s="54" t="n"/>
      <c r="D85" s="54" t="n">
        <v>33980.05716463415</v>
      </c>
      <c r="E85" s="54" t="n"/>
      <c r="F85" s="54" t="n"/>
      <c r="G85" s="54" t="n"/>
      <c r="H85" s="54" t="n">
        <v>474909677.5360307</v>
      </c>
    </row>
    <row r="86">
      <c r="A86" s="51">
        <f>B86-$A$2</f>
        <v/>
      </c>
      <c r="B86" s="3" t="n">
        <v>48426</v>
      </c>
      <c r="C86" s="54" t="n"/>
      <c r="D86" s="54" t="n">
        <v>33980.05716463415</v>
      </c>
      <c r="E86" s="54" t="n"/>
      <c r="F86" s="54" t="n"/>
      <c r="G86" s="54" t="n"/>
      <c r="H86" s="54" t="n">
        <v>467648393.100861</v>
      </c>
    </row>
    <row r="87">
      <c r="A87" s="51">
        <f>B87-$A$2</f>
        <v/>
      </c>
      <c r="B87" s="3" t="n">
        <v>48457</v>
      </c>
      <c r="C87" s="54" t="n"/>
      <c r="D87" s="54" t="n">
        <v>33980.05716463415</v>
      </c>
      <c r="E87" s="54" t="n"/>
      <c r="F87" s="54" t="n"/>
      <c r="G87" s="54" t="n"/>
      <c r="H87" s="54" t="n">
        <v>460495486.0453206</v>
      </c>
    </row>
    <row r="88">
      <c r="A88" s="51">
        <f>B88-$A$2</f>
        <v/>
      </c>
      <c r="B88" s="3" t="n">
        <v>48487</v>
      </c>
      <c r="C88" s="54" t="n"/>
      <c r="D88" s="54" t="n">
        <v>33980.05716463415</v>
      </c>
      <c r="E88" s="54" t="n"/>
      <c r="F88" s="54" t="n"/>
      <c r="G88" s="54" t="n"/>
      <c r="H88" s="54" t="n">
        <v>453342578.9897802</v>
      </c>
    </row>
    <row r="89">
      <c r="A89" s="51">
        <f>B89-$A$2</f>
        <v/>
      </c>
      <c r="B89" s="3" t="n">
        <v>48518</v>
      </c>
      <c r="C89" s="54" t="n"/>
      <c r="D89" s="54" t="n">
        <v>33980.05716463415</v>
      </c>
      <c r="E89" s="54" t="n"/>
      <c r="F89" s="54" t="n"/>
      <c r="G89" s="54" t="n"/>
      <c r="H89" s="54" t="n">
        <v>446406426.6934986</v>
      </c>
    </row>
    <row r="90">
      <c r="A90" s="51">
        <f>B90-$A$2</f>
        <v/>
      </c>
      <c r="B90" s="3" t="n">
        <v>48548</v>
      </c>
      <c r="C90" s="54" t="n"/>
      <c r="D90" s="54" t="n">
        <v>33980.05716463415</v>
      </c>
      <c r="E90" s="54" t="n"/>
      <c r="F90" s="54" t="n"/>
      <c r="G90" s="54" t="n"/>
      <c r="H90" s="54" t="n">
        <v>439578651.7768463</v>
      </c>
    </row>
    <row r="91">
      <c r="A91" s="51">
        <f>B91-$A$2</f>
        <v/>
      </c>
      <c r="B91" s="3" t="n">
        <v>48579</v>
      </c>
      <c r="C91" s="54" t="n"/>
      <c r="D91" s="54" t="n">
        <v>33980.05716463415</v>
      </c>
      <c r="E91" s="54" t="n"/>
      <c r="F91" s="54" t="n"/>
      <c r="G91" s="54" t="n"/>
      <c r="H91" s="54" t="n">
        <v>432750876.8601942</v>
      </c>
    </row>
    <row r="92">
      <c r="A92" s="51">
        <f>B92-$A$2</f>
        <v/>
      </c>
      <c r="B92" s="3" t="n">
        <v>48610</v>
      </c>
      <c r="C92" s="54" t="n"/>
      <c r="D92" s="54" t="n">
        <v>33980.05716463415</v>
      </c>
      <c r="E92" s="54" t="n"/>
      <c r="F92" s="54" t="n"/>
      <c r="G92" s="54" t="n"/>
      <c r="H92" s="54" t="n">
        <v>426139856.7028008</v>
      </c>
    </row>
    <row r="93">
      <c r="A93" s="51">
        <f>B93-$A$2</f>
        <v/>
      </c>
      <c r="B93" s="3" t="n">
        <v>48638</v>
      </c>
      <c r="C93" s="54" t="n"/>
      <c r="D93" s="54" t="n">
        <v>33980.05716463415</v>
      </c>
      <c r="E93" s="54" t="n"/>
      <c r="F93" s="54" t="n"/>
      <c r="G93" s="54" t="n"/>
      <c r="H93" s="54" t="n">
        <v>419528836.5454074</v>
      </c>
    </row>
    <row r="94">
      <c r="A94" s="51">
        <f>B94-$A$2</f>
        <v/>
      </c>
      <c r="B94" s="3" t="n">
        <v>48669</v>
      </c>
      <c r="C94" s="54" t="n"/>
      <c r="D94" s="54" t="n">
        <v>33980.05716463415</v>
      </c>
      <c r="E94" s="54" t="n"/>
      <c r="F94" s="54" t="n"/>
      <c r="G94" s="54" t="n"/>
      <c r="H94" s="54" t="n">
        <v>413134571.1472728</v>
      </c>
    </row>
    <row r="95">
      <c r="A95" s="51">
        <f>B95-$A$2</f>
        <v/>
      </c>
      <c r="B95" s="3" t="n">
        <v>48699</v>
      </c>
      <c r="C95" s="54" t="n"/>
      <c r="D95" s="54" t="n">
        <v>33980.05716463415</v>
      </c>
      <c r="E95" s="54" t="n"/>
      <c r="F95" s="54" t="n"/>
      <c r="G95" s="54" t="n"/>
      <c r="H95" s="54" t="n">
        <v>406740305.7491382</v>
      </c>
    </row>
    <row r="96">
      <c r="A96" s="51">
        <f>B96-$A$2</f>
        <v/>
      </c>
      <c r="B96" s="3" t="n">
        <v>48730</v>
      </c>
      <c r="C96" s="54" t="n"/>
      <c r="D96" s="54" t="n">
        <v>33980.05716463415</v>
      </c>
      <c r="E96" s="54" t="n"/>
      <c r="F96" s="54" t="n"/>
      <c r="G96" s="54" t="n"/>
      <c r="H96" s="54" t="n">
        <v>400454417.730633</v>
      </c>
    </row>
    <row r="97">
      <c r="A97" s="51">
        <f>B97-$A$2</f>
        <v/>
      </c>
      <c r="B97" s="3" t="n">
        <v>48760</v>
      </c>
      <c r="C97" s="54" t="n"/>
      <c r="D97" s="54" t="n">
        <v>33980.05716463415</v>
      </c>
      <c r="E97" s="54" t="n"/>
      <c r="F97" s="54" t="n"/>
      <c r="G97" s="54" t="n"/>
      <c r="H97" s="54" t="n">
        <v>394385284.4713866</v>
      </c>
    </row>
    <row r="98">
      <c r="A98" s="51">
        <f>B98-$A$2</f>
        <v/>
      </c>
      <c r="B98" s="3" t="n">
        <v>48791</v>
      </c>
      <c r="C98" s="54" t="n"/>
      <c r="D98" s="54" t="n">
        <v>33980.05716463415</v>
      </c>
      <c r="E98" s="54" t="n"/>
      <c r="F98" s="54" t="n"/>
      <c r="G98" s="54" t="n"/>
      <c r="H98" s="54" t="n">
        <v>388316151.2121401</v>
      </c>
    </row>
    <row r="99">
      <c r="A99" s="51">
        <f>B99-$A$2</f>
        <v/>
      </c>
      <c r="B99" s="3" t="n">
        <v>48822</v>
      </c>
      <c r="C99" s="54" t="n"/>
      <c r="D99" s="54" t="n">
        <v>33980.05716463415</v>
      </c>
      <c r="E99" s="54" t="n"/>
      <c r="F99" s="54" t="n"/>
      <c r="G99" s="54" t="n"/>
      <c r="H99" s="54" t="n">
        <v>382355395.3325232</v>
      </c>
    </row>
    <row r="100">
      <c r="A100" s="51">
        <f>B100-$A$2</f>
        <v/>
      </c>
      <c r="B100" s="3" t="n">
        <v>48852</v>
      </c>
      <c r="C100" s="54" t="n"/>
      <c r="D100" s="54" t="n">
        <v>33980.05716463415</v>
      </c>
      <c r="E100" s="54" t="n"/>
      <c r="F100" s="54" t="n"/>
      <c r="G100" s="54" t="n"/>
      <c r="H100" s="54" t="n">
        <v>376394639.4529062</v>
      </c>
    </row>
    <row r="101">
      <c r="A101" s="51">
        <f>B101-$A$2</f>
        <v/>
      </c>
      <c r="B101" s="3" t="n">
        <v>48883</v>
      </c>
      <c r="C101" s="54" t="n"/>
      <c r="D101" s="54" t="n">
        <v>33980.05716463415</v>
      </c>
      <c r="E101" s="54" t="n"/>
      <c r="F101" s="54" t="n"/>
      <c r="G101" s="54" t="n"/>
      <c r="H101" s="54" t="n">
        <v>370650638.332548</v>
      </c>
    </row>
    <row r="102">
      <c r="A102" s="51">
        <f>B102-$A$2</f>
        <v/>
      </c>
      <c r="B102" s="3" t="n">
        <v>48913</v>
      </c>
      <c r="C102" s="54" t="n"/>
      <c r="D102" s="54" t="n">
        <v>33980.05716463415</v>
      </c>
      <c r="E102" s="54" t="n"/>
      <c r="F102" s="54" t="n"/>
      <c r="G102" s="54" t="n"/>
      <c r="H102" s="54" t="n">
        <v>364906637.2121898</v>
      </c>
    </row>
    <row r="103">
      <c r="A103" s="51">
        <f>B103-$A$2</f>
        <v/>
      </c>
      <c r="B103" s="3" t="n">
        <v>48944</v>
      </c>
      <c r="C103" s="54" t="n"/>
      <c r="D103" s="54" t="n">
        <v>33980.05716463415</v>
      </c>
      <c r="E103" s="54" t="n"/>
      <c r="F103" s="54" t="n"/>
      <c r="G103" s="54" t="n"/>
      <c r="H103" s="54" t="n">
        <v>359271013.4714609</v>
      </c>
    </row>
    <row r="104">
      <c r="A104" s="51">
        <f>B104-$A$2</f>
        <v/>
      </c>
      <c r="B104" s="3" t="n">
        <v>48975</v>
      </c>
      <c r="C104" s="54" t="n"/>
      <c r="D104" s="54" t="n">
        <v>33980.05716463415</v>
      </c>
      <c r="E104" s="54" t="n"/>
      <c r="F104" s="54" t="n"/>
      <c r="G104" s="54" t="n"/>
      <c r="H104" s="54" t="n">
        <v>353743767.1103616</v>
      </c>
    </row>
    <row r="105">
      <c r="A105" s="51">
        <f>B105-$A$2</f>
        <v/>
      </c>
      <c r="B105" s="3" t="n">
        <v>49003</v>
      </c>
      <c r="C105" s="54" t="n"/>
      <c r="D105" s="54" t="n">
        <v>33980.05716463415</v>
      </c>
      <c r="E105" s="54" t="n"/>
      <c r="F105" s="54" t="n"/>
      <c r="G105" s="54" t="n"/>
      <c r="H105" s="54" t="n">
        <v>348324898.1288916</v>
      </c>
    </row>
    <row r="106">
      <c r="A106" s="51">
        <f>B106-$A$2</f>
        <v/>
      </c>
      <c r="B106" s="3" t="n">
        <v>49034</v>
      </c>
      <c r="C106" s="54" t="n"/>
      <c r="D106" s="54" t="n">
        <v>33980.05716463415</v>
      </c>
      <c r="E106" s="54" t="n"/>
      <c r="F106" s="54" t="n"/>
      <c r="G106" s="54" t="n"/>
      <c r="H106" s="54" t="n">
        <v>343014406.527051</v>
      </c>
    </row>
    <row r="107">
      <c r="A107" s="51">
        <f>B107-$A$2</f>
        <v/>
      </c>
      <c r="B107" s="3" t="n">
        <v>49064</v>
      </c>
      <c r="C107" s="54" t="n"/>
      <c r="D107" s="54" t="n">
        <v>33980.05716463415</v>
      </c>
      <c r="E107" s="54" t="n"/>
      <c r="F107" s="54" t="n"/>
      <c r="G107" s="54" t="n"/>
      <c r="H107" s="54" t="n">
        <v>337703914.9252104</v>
      </c>
    </row>
    <row r="108">
      <c r="A108" s="51">
        <f>B108-$A$2</f>
        <v/>
      </c>
      <c r="B108" s="3" t="n">
        <v>49095</v>
      </c>
      <c r="C108" s="54" t="n"/>
      <c r="D108" s="54" t="n">
        <v>33980.05716463415</v>
      </c>
      <c r="E108" s="54" t="n"/>
      <c r="F108" s="54" t="n"/>
      <c r="G108" s="54" t="n"/>
      <c r="H108" s="54" t="n">
        <v>332501800.7029992</v>
      </c>
    </row>
    <row r="109">
      <c r="A109" s="51">
        <f>B109-$A$2</f>
        <v/>
      </c>
      <c r="B109" s="3" t="n">
        <v>49125</v>
      </c>
      <c r="C109" s="54" t="n"/>
      <c r="D109" s="54" t="n">
        <v>33980.05716463415</v>
      </c>
      <c r="E109" s="54" t="n"/>
      <c r="F109" s="54" t="n"/>
      <c r="G109" s="54" t="n"/>
      <c r="H109" s="54" t="n">
        <v>327408063.8604174</v>
      </c>
    </row>
    <row r="110">
      <c r="A110" s="51">
        <f>B110-$A$2</f>
        <v/>
      </c>
      <c r="B110" s="3" t="n">
        <v>49156</v>
      </c>
      <c r="C110" s="54" t="n"/>
      <c r="D110" s="54" t="n">
        <v>33980.05716463415</v>
      </c>
      <c r="E110" s="54" t="n"/>
      <c r="F110" s="54" t="n"/>
      <c r="G110" s="54" t="n"/>
      <c r="H110" s="54" t="n">
        <v>322422704.397465</v>
      </c>
    </row>
    <row r="111">
      <c r="A111" s="51">
        <f>B111-$A$2</f>
        <v/>
      </c>
      <c r="B111" s="3" t="n">
        <v>49187</v>
      </c>
      <c r="C111" s="54" t="n"/>
      <c r="D111" s="54" t="n">
        <v>33980.05716463415</v>
      </c>
      <c r="E111" s="54" t="n"/>
      <c r="F111" s="54" t="n"/>
      <c r="G111" s="54" t="n"/>
      <c r="H111" s="54" t="n">
        <v>20637654138.54887</v>
      </c>
    </row>
    <row r="112">
      <c r="A112" s="51">
        <f>B112-$A$2</f>
        <v/>
      </c>
      <c r="B112" s="3" t="n">
        <v>49217</v>
      </c>
      <c r="C112" s="54" t="n"/>
      <c r="D112" s="54" t="n">
        <v>33980.05716463415</v>
      </c>
      <c r="E112" s="54" t="n"/>
      <c r="F112" s="54" t="n"/>
      <c r="G112" s="54" t="n"/>
      <c r="H112" s="54" t="n"/>
    </row>
    <row r="113">
      <c r="A113" s="51">
        <f>B113-$A$2</f>
        <v/>
      </c>
      <c r="B113" s="3" t="n">
        <v>49248</v>
      </c>
      <c r="C113" s="54" t="n"/>
      <c r="D113" s="54" t="n">
        <v>33980.05716463415</v>
      </c>
      <c r="E113" s="54" t="n"/>
      <c r="F113" s="54" t="n"/>
      <c r="G113" s="54" t="n"/>
      <c r="H113" s="54" t="n"/>
    </row>
    <row r="114">
      <c r="A114" s="51">
        <f>B114-$A$2</f>
        <v/>
      </c>
      <c r="B114" s="3" t="n">
        <v>49278</v>
      </c>
      <c r="C114" s="54" t="n"/>
      <c r="D114" s="54" t="n">
        <v>33980.05716463415</v>
      </c>
      <c r="E114" s="54" t="n"/>
      <c r="F114" s="54" t="n"/>
      <c r="G114" s="54" t="n"/>
      <c r="H114" s="54" t="n"/>
    </row>
    <row r="115">
      <c r="A115" s="51">
        <f>B115-$A$2</f>
        <v/>
      </c>
      <c r="B115" s="3" t="n">
        <v>49309</v>
      </c>
      <c r="C115" s="54" t="n"/>
      <c r="D115" s="54" t="n">
        <v>33980.05716463415</v>
      </c>
      <c r="E115" s="54" t="n"/>
      <c r="F115" s="54" t="n"/>
      <c r="G115" s="54" t="n"/>
      <c r="H115" s="54" t="n"/>
    </row>
    <row r="116">
      <c r="A116" s="51">
        <f>B116-$A$2</f>
        <v/>
      </c>
      <c r="B116" s="3" t="n">
        <v>49340</v>
      </c>
      <c r="C116" s="54" t="n"/>
      <c r="D116" s="54" t="n">
        <v>33980.05716463415</v>
      </c>
      <c r="E116" s="54" t="n"/>
      <c r="F116" s="54" t="n"/>
      <c r="G116" s="54" t="n"/>
      <c r="H116" s="54" t="n"/>
    </row>
    <row r="117">
      <c r="A117" s="51">
        <f>B117-$A$2</f>
        <v/>
      </c>
      <c r="B117" s="3" t="n">
        <v>49368</v>
      </c>
      <c r="C117" s="54" t="n"/>
      <c r="D117" s="54" t="n">
        <v>33980.05716463415</v>
      </c>
      <c r="E117" s="54" t="n"/>
      <c r="F117" s="54" t="n"/>
      <c r="G117" s="54" t="n"/>
      <c r="H117" s="54" t="n"/>
    </row>
    <row r="118">
      <c r="A118" s="51">
        <f>B118-$A$2</f>
        <v/>
      </c>
      <c r="B118" s="3" t="n">
        <v>49399</v>
      </c>
      <c r="C118" s="54" t="n"/>
      <c r="D118" s="54" t="n">
        <v>33980.05716463415</v>
      </c>
      <c r="E118" s="54" t="n"/>
      <c r="F118" s="54" t="n"/>
      <c r="G118" s="54" t="n"/>
      <c r="H118" s="54" t="n"/>
    </row>
    <row r="119">
      <c r="A119" s="51">
        <f>B119-$A$2</f>
        <v/>
      </c>
      <c r="B119" s="3" t="n">
        <v>49429</v>
      </c>
      <c r="C119" s="54" t="n"/>
      <c r="D119" s="54" t="n">
        <v>33980.05716463415</v>
      </c>
      <c r="E119" s="54" t="n"/>
      <c r="F119" s="54" t="n"/>
      <c r="G119" s="54" t="n"/>
      <c r="H119" s="54" t="n"/>
    </row>
    <row r="120">
      <c r="A120" s="51">
        <f>B120-$A$2</f>
        <v/>
      </c>
      <c r="B120" s="3" t="n">
        <v>49460</v>
      </c>
      <c r="C120" s="54" t="n"/>
      <c r="D120" s="54" t="n">
        <v>33980.05716463415</v>
      </c>
      <c r="E120" s="54" t="n"/>
      <c r="F120" s="54" t="n"/>
      <c r="G120" s="54" t="n"/>
      <c r="H120" s="54" t="n"/>
    </row>
    <row r="121">
      <c r="A121" s="51">
        <f>B121-$A$2</f>
        <v/>
      </c>
      <c r="B121" s="3" t="n">
        <v>49490</v>
      </c>
      <c r="C121" s="54" t="n"/>
      <c r="D121" s="54" t="n">
        <v>33980.05716463415</v>
      </c>
      <c r="E121" s="54" t="n"/>
      <c r="F121" s="54" t="n"/>
      <c r="G121" s="54" t="n"/>
      <c r="H121" s="54" t="n"/>
    </row>
    <row r="122">
      <c r="A122" s="51">
        <f>B122-$A$2</f>
        <v/>
      </c>
      <c r="B122" s="3" t="n">
        <v>49521</v>
      </c>
      <c r="C122" s="54" t="n"/>
      <c r="D122" s="54" t="n">
        <v>33980.05716463415</v>
      </c>
      <c r="E122" s="54" t="n"/>
      <c r="F122" s="54" t="n"/>
      <c r="G122" s="54" t="n"/>
      <c r="H122" s="54" t="n"/>
    </row>
    <row r="123">
      <c r="A123" s="51">
        <f>B123-$A$2</f>
        <v/>
      </c>
      <c r="B123" s="3" t="n">
        <v>49552</v>
      </c>
      <c r="C123" s="54" t="n"/>
      <c r="D123" s="54" t="n">
        <v>33980.05716463415</v>
      </c>
      <c r="E123" s="54" t="n"/>
      <c r="F123" s="54" t="n"/>
      <c r="G123" s="54" t="n"/>
      <c r="H123" s="54" t="n"/>
    </row>
    <row r="124">
      <c r="A124" s="51">
        <f>B124-$A$2</f>
        <v/>
      </c>
      <c r="B124" s="3" t="n">
        <v>49582</v>
      </c>
      <c r="C124" s="54" t="n"/>
      <c r="D124" s="54" t="n">
        <v>33980.05716463415</v>
      </c>
      <c r="E124" s="54" t="n"/>
      <c r="F124" s="54" t="n"/>
      <c r="G124" s="54" t="n"/>
      <c r="H124" s="54" t="n"/>
    </row>
    <row r="125">
      <c r="A125" s="51">
        <f>B125-$A$2</f>
        <v/>
      </c>
      <c r="B125" s="3" t="n">
        <v>49613</v>
      </c>
      <c r="C125" s="54" t="n"/>
      <c r="D125" s="54" t="n">
        <v>33980.05716463415</v>
      </c>
      <c r="E125" s="54" t="n"/>
      <c r="F125" s="54" t="n"/>
      <c r="G125" s="54" t="n"/>
      <c r="H125" s="54" t="n"/>
    </row>
    <row r="126">
      <c r="A126" s="51">
        <f>B126-$A$2</f>
        <v/>
      </c>
      <c r="B126" s="3" t="n">
        <v>49643</v>
      </c>
      <c r="C126" s="54" t="n"/>
      <c r="D126" s="54" t="n">
        <v>33980.05716463415</v>
      </c>
      <c r="E126" s="54" t="n"/>
      <c r="F126" s="54" t="n"/>
      <c r="G126" s="54" t="n"/>
      <c r="H126" s="54" t="n"/>
    </row>
    <row r="127">
      <c r="A127" s="51">
        <f>B127-$A$2</f>
        <v/>
      </c>
      <c r="B127" s="3" t="n">
        <v>49674</v>
      </c>
      <c r="C127" s="54" t="n"/>
      <c r="D127" s="54" t="n">
        <v>33980.05716463415</v>
      </c>
      <c r="E127" s="54" t="n"/>
      <c r="F127" s="54" t="n"/>
      <c r="G127" s="54" t="n"/>
      <c r="H127" s="54" t="n"/>
    </row>
    <row r="128">
      <c r="A128" s="51">
        <f>B128-$A$2</f>
        <v/>
      </c>
      <c r="B128" s="3" t="n">
        <v>49705</v>
      </c>
      <c r="C128" s="54" t="n"/>
      <c r="D128" s="54" t="n">
        <v>33980.05716463415</v>
      </c>
      <c r="E128" s="54" t="n"/>
      <c r="F128" s="54" t="n"/>
      <c r="G128" s="54" t="n"/>
      <c r="H128" s="54" t="n"/>
    </row>
    <row r="129">
      <c r="A129" s="51">
        <f>B129-$A$2</f>
        <v/>
      </c>
      <c r="B129" s="3" t="n">
        <v>49734</v>
      </c>
      <c r="C129" s="54" t="n"/>
      <c r="D129" s="54" t="n">
        <v>33980.05716463415</v>
      </c>
      <c r="E129" s="54" t="n"/>
      <c r="F129" s="54" t="n"/>
      <c r="G129" s="54" t="n"/>
      <c r="H129" s="54" t="n"/>
    </row>
    <row r="130">
      <c r="A130" s="51">
        <f>B130-$A$2</f>
        <v/>
      </c>
      <c r="B130" s="3" t="n">
        <v>49765</v>
      </c>
      <c r="C130" s="54" t="n"/>
      <c r="D130" s="54" t="n">
        <v>33980.05716463415</v>
      </c>
      <c r="E130" s="54" t="n"/>
      <c r="F130" s="54" t="n"/>
      <c r="G130" s="54" t="n"/>
      <c r="H130" s="54" t="n"/>
    </row>
    <row r="131">
      <c r="A131" s="51">
        <f>B131-$A$2</f>
        <v/>
      </c>
      <c r="B131" s="3" t="n">
        <v>49795</v>
      </c>
      <c r="C131" s="54" t="n"/>
      <c r="D131" s="54" t="n">
        <v>1083.291539634147</v>
      </c>
      <c r="E131" s="54" t="n"/>
      <c r="F131" s="54" t="n"/>
      <c r="G131" s="54" t="n"/>
      <c r="H131" s="54" t="n"/>
    </row>
    <row r="132">
      <c r="A132" s="51">
        <f>B132-$A$2</f>
        <v/>
      </c>
      <c r="B132" s="3" t="n">
        <v>49826</v>
      </c>
      <c r="C132" s="54" t="n"/>
      <c r="D132" s="54" t="n">
        <v>1083.291539634147</v>
      </c>
      <c r="E132" s="54" t="n"/>
      <c r="F132" s="54" t="n"/>
      <c r="G132" s="54" t="n"/>
      <c r="H132" s="54" t="n"/>
    </row>
    <row r="133">
      <c r="A133" s="51">
        <f>B133-$A$2</f>
        <v/>
      </c>
      <c r="B133" s="3" t="n">
        <v>49856</v>
      </c>
      <c r="C133" s="54" t="n"/>
      <c r="D133" s="54" t="n">
        <v>1083.291539634147</v>
      </c>
      <c r="E133" s="54" t="n"/>
      <c r="F133" s="54" t="n"/>
      <c r="G133" s="54" t="n"/>
      <c r="H133" s="54" t="n"/>
    </row>
    <row r="134">
      <c r="A134" s="51">
        <f>B134-$A$2</f>
        <v/>
      </c>
      <c r="B134" s="3" t="n">
        <v>49887</v>
      </c>
      <c r="C134" s="54" t="n"/>
      <c r="D134" s="54" t="n">
        <v>1083.291539634147</v>
      </c>
      <c r="E134" s="54" t="n"/>
      <c r="F134" s="54" t="n"/>
      <c r="G134" s="54" t="n"/>
      <c r="H134" s="54" t="n"/>
    </row>
    <row r="135">
      <c r="A135" s="51">
        <f>B135-$A$2</f>
        <v/>
      </c>
      <c r="B135" s="3" t="n">
        <v>49918</v>
      </c>
      <c r="C135" s="54" t="n"/>
      <c r="D135" s="54" t="n">
        <v>1083.291539634147</v>
      </c>
      <c r="E135" s="54" t="n"/>
      <c r="F135" s="54" t="n"/>
      <c r="G135" s="54" t="n"/>
      <c r="H135" s="54" t="n"/>
    </row>
    <row r="136">
      <c r="A136" s="51">
        <f>B136-$A$2</f>
        <v/>
      </c>
      <c r="B136" s="3" t="n">
        <v>49948</v>
      </c>
      <c r="C136" s="54" t="n"/>
      <c r="D136" s="54" t="n">
        <v>1083.291539634147</v>
      </c>
      <c r="E136" s="54" t="n"/>
      <c r="F136" s="54" t="n"/>
      <c r="G136" s="54" t="n"/>
      <c r="H136" s="54" t="n"/>
    </row>
    <row r="137">
      <c r="A137" s="51">
        <f>B137-$A$2</f>
        <v/>
      </c>
      <c r="B137" s="3" t="n">
        <v>49979</v>
      </c>
      <c r="C137" s="54" t="n"/>
      <c r="D137" s="54" t="n">
        <v>1083.291539634147</v>
      </c>
      <c r="E137" s="54" t="n"/>
      <c r="F137" s="54" t="n"/>
      <c r="G137" s="54" t="n"/>
      <c r="H137" s="54" t="n"/>
    </row>
    <row r="138">
      <c r="A138" s="51">
        <f>B138-$A$2</f>
        <v/>
      </c>
      <c r="B138" s="3" t="n">
        <v>50009</v>
      </c>
      <c r="C138" s="54" t="n"/>
      <c r="D138" s="54" t="n">
        <v>1083.291539634147</v>
      </c>
      <c r="E138" s="54" t="n"/>
      <c r="F138" s="54" t="n"/>
      <c r="G138" s="54" t="n"/>
      <c r="H138" s="54" t="n"/>
    </row>
    <row r="139">
      <c r="A139" s="51">
        <f>B139-$A$2</f>
        <v/>
      </c>
      <c r="B139" s="3" t="n">
        <v>50040</v>
      </c>
      <c r="C139" s="54" t="n"/>
      <c r="D139" s="54" t="n">
        <v>1083.291539634147</v>
      </c>
      <c r="E139" s="54" t="n"/>
      <c r="F139" s="54" t="n"/>
      <c r="G139" s="54" t="n"/>
      <c r="H139" s="54" t="n"/>
    </row>
    <row r="140">
      <c r="A140" s="51">
        <f>B140-$A$2</f>
        <v/>
      </c>
      <c r="B140" s="3" t="n">
        <v>50071</v>
      </c>
      <c r="C140" s="54" t="n"/>
      <c r="D140" s="54" t="n">
        <v>1083.291539634147</v>
      </c>
      <c r="E140" s="54" t="n"/>
      <c r="F140" s="54" t="n"/>
      <c r="G140" s="54" t="n"/>
      <c r="H140" s="54" t="n"/>
    </row>
    <row r="141">
      <c r="A141" s="51">
        <f>B141-$A$2</f>
        <v/>
      </c>
      <c r="B141" s="3" t="n">
        <v>50099</v>
      </c>
      <c r="C141" s="54" t="n"/>
      <c r="D141" s="54" t="n">
        <v>1083.291539634147</v>
      </c>
      <c r="E141" s="54" t="n"/>
      <c r="F141" s="54" t="n"/>
      <c r="G141" s="54" t="n"/>
      <c r="H141" s="54" t="n"/>
    </row>
    <row r="142">
      <c r="A142" s="51">
        <f>B142-$A$2</f>
        <v/>
      </c>
      <c r="B142" s="3" t="n">
        <v>50130</v>
      </c>
      <c r="C142" s="54" t="n"/>
      <c r="D142" s="54" t="n">
        <v>1083.291539634147</v>
      </c>
      <c r="E142" s="54" t="n"/>
      <c r="F142" s="54" t="n"/>
      <c r="G142" s="54" t="n"/>
      <c r="H142" s="54" t="n"/>
    </row>
    <row r="143">
      <c r="A143" s="51">
        <f>B143-$A$2</f>
        <v/>
      </c>
      <c r="B143" s="3" t="n">
        <v>50160</v>
      </c>
      <c r="C143" s="54" t="n"/>
      <c r="D143" s="54" t="n">
        <v>1083.291539634147</v>
      </c>
      <c r="E143" s="54" t="n"/>
      <c r="F143" s="54" t="n"/>
      <c r="G143" s="54" t="n"/>
      <c r="H143" s="54" t="n"/>
    </row>
    <row r="144">
      <c r="A144" s="51">
        <f>B144-$A$2</f>
        <v/>
      </c>
      <c r="B144" s="3" t="n">
        <v>50191</v>
      </c>
      <c r="C144" s="54" t="n"/>
      <c r="D144" s="54" t="n">
        <v>1083.291539634147</v>
      </c>
      <c r="E144" s="54" t="n"/>
      <c r="F144" s="54" t="n"/>
      <c r="G144" s="54" t="n"/>
      <c r="H144" s="54" t="n"/>
    </row>
    <row r="145">
      <c r="A145" s="51">
        <f>B145-$A$2</f>
        <v/>
      </c>
      <c r="B145" s="3" t="n">
        <v>50221</v>
      </c>
      <c r="C145" s="54" t="n"/>
      <c r="D145" s="54" t="n">
        <v>1083.291539634147</v>
      </c>
      <c r="E145" s="54" t="n"/>
      <c r="F145" s="54" t="n"/>
      <c r="G145" s="54" t="n"/>
      <c r="H145" s="54" t="n"/>
    </row>
    <row r="146">
      <c r="A146" s="51">
        <f>B146-$A$2</f>
        <v/>
      </c>
      <c r="B146" s="3" t="n">
        <v>50252</v>
      </c>
      <c r="C146" s="54" t="n"/>
      <c r="D146" s="54" t="n">
        <v>1083.291539634147</v>
      </c>
      <c r="E146" s="54" t="n"/>
      <c r="F146" s="54" t="n"/>
      <c r="G146" s="54" t="n"/>
      <c r="H146" s="54" t="n"/>
    </row>
    <row r="147">
      <c r="A147" s="51">
        <f>B147-$A$2</f>
        <v/>
      </c>
      <c r="B147" s="3" t="n">
        <v>50283</v>
      </c>
      <c r="C147" s="54" t="n"/>
      <c r="D147" s="54" t="n">
        <v>1083.291539634147</v>
      </c>
      <c r="E147" s="54" t="n"/>
      <c r="F147" s="54" t="n"/>
      <c r="G147" s="54" t="n"/>
      <c r="H147" s="54" t="n"/>
    </row>
    <row r="148">
      <c r="A148" s="51">
        <f>B148-$A$2</f>
        <v/>
      </c>
      <c r="B148" s="3" t="n">
        <v>50313</v>
      </c>
      <c r="C148" s="54" t="n"/>
      <c r="D148" s="54" t="n">
        <v>1083.291539634147</v>
      </c>
      <c r="E148" s="54" t="n"/>
      <c r="F148" s="54" t="n"/>
      <c r="G148" s="54" t="n"/>
      <c r="H148" s="54" t="n"/>
    </row>
    <row r="149">
      <c r="A149" s="51">
        <f>B149-$A$2</f>
        <v/>
      </c>
      <c r="B149" s="3" t="n">
        <v>50344</v>
      </c>
      <c r="C149" s="54" t="n"/>
      <c r="D149" s="54" t="n">
        <v>1083.291539634147</v>
      </c>
      <c r="E149" s="54" t="n"/>
      <c r="F149" s="54" t="n"/>
      <c r="G149" s="54" t="n"/>
      <c r="H149" s="54" t="n"/>
    </row>
    <row r="150">
      <c r="A150" s="51">
        <f>B150-$A$2</f>
        <v/>
      </c>
      <c r="B150" s="3" t="n">
        <v>50374</v>
      </c>
      <c r="C150" s="54" t="n"/>
      <c r="D150" s="54" t="n">
        <v>1083.291539634147</v>
      </c>
      <c r="E150" s="54" t="n"/>
      <c r="F150" s="54" t="n"/>
      <c r="G150" s="54" t="n"/>
      <c r="H150" s="54" t="n"/>
    </row>
    <row r="151">
      <c r="A151" s="51">
        <f>B151-$A$2</f>
        <v/>
      </c>
      <c r="B151" s="3" t="n">
        <v>50405</v>
      </c>
      <c r="C151" s="54" t="n"/>
      <c r="D151" s="54" t="n">
        <v>1083.291539634147</v>
      </c>
      <c r="E151" s="54" t="n"/>
      <c r="F151" s="54" t="n"/>
      <c r="G151" s="54" t="n"/>
      <c r="H151" s="54" t="n"/>
    </row>
    <row r="152">
      <c r="A152" s="51">
        <f>B152-$A$2</f>
        <v/>
      </c>
      <c r="B152" s="3" t="n">
        <v>50436</v>
      </c>
      <c r="C152" s="54" t="n"/>
      <c r="D152" s="54" t="n">
        <v>1083.291539634147</v>
      </c>
      <c r="E152" s="54" t="n"/>
      <c r="F152" s="54" t="n"/>
      <c r="G152" s="54" t="n"/>
      <c r="H152" s="54" t="n"/>
    </row>
    <row r="153">
      <c r="A153" s="51">
        <f>B153-$A$2</f>
        <v/>
      </c>
      <c r="B153" s="3" t="n">
        <v>50464</v>
      </c>
      <c r="C153" s="54" t="n"/>
      <c r="D153" s="54" t="n">
        <v>1083.291539634147</v>
      </c>
      <c r="E153" s="54" t="n"/>
      <c r="F153" s="54" t="n"/>
      <c r="G153" s="54" t="n"/>
      <c r="H153" s="54" t="n"/>
    </row>
    <row r="154">
      <c r="A154" s="51">
        <f>B154-$A$2</f>
        <v/>
      </c>
      <c r="B154" s="3" t="n">
        <v>50495</v>
      </c>
      <c r="C154" s="54" t="n"/>
      <c r="D154" s="54" t="n">
        <v>1083.291539634147</v>
      </c>
      <c r="E154" s="54" t="n"/>
      <c r="F154" s="54" t="n"/>
      <c r="G154" s="54" t="n"/>
      <c r="H154" s="54" t="n"/>
    </row>
    <row r="155">
      <c r="A155" s="51">
        <f>B155-$A$2</f>
        <v/>
      </c>
      <c r="B155" s="3" t="n">
        <v>50525</v>
      </c>
      <c r="C155" s="54" t="n"/>
      <c r="D155" s="54" t="n">
        <v>1083.291539634147</v>
      </c>
      <c r="E155" s="54" t="n"/>
      <c r="F155" s="54" t="n"/>
      <c r="G155" s="54" t="n"/>
      <c r="H155" s="54" t="n"/>
    </row>
    <row r="156">
      <c r="A156" s="51">
        <f>B156-$A$2</f>
        <v/>
      </c>
      <c r="B156" s="3" t="n">
        <v>50556</v>
      </c>
      <c r="C156" s="54" t="n"/>
      <c r="D156" s="54" t="n">
        <v>1083.291539634147</v>
      </c>
      <c r="E156" s="54" t="n"/>
      <c r="F156" s="54" t="n"/>
      <c r="G156" s="54" t="n"/>
      <c r="H156" s="54" t="n"/>
    </row>
    <row r="157">
      <c r="A157" s="51">
        <f>B157-$A$2</f>
        <v/>
      </c>
      <c r="B157" s="3" t="n">
        <v>50586</v>
      </c>
      <c r="C157" s="54" t="n"/>
      <c r="D157" s="54" t="n">
        <v>1083.291539634147</v>
      </c>
      <c r="E157" s="54" t="n"/>
      <c r="F157" s="54" t="n"/>
      <c r="G157" s="54" t="n"/>
      <c r="H157" s="54" t="n"/>
    </row>
    <row r="158">
      <c r="A158" s="51">
        <f>B158-$A$2</f>
        <v/>
      </c>
      <c r="B158" s="3" t="n">
        <v>50617</v>
      </c>
      <c r="C158" s="54" t="n"/>
      <c r="D158" s="54" t="n">
        <v>1083.291539634147</v>
      </c>
      <c r="E158" s="54" t="n"/>
      <c r="F158" s="54" t="n"/>
      <c r="G158" s="54" t="n"/>
      <c r="H158" s="54" t="n"/>
    </row>
    <row r="159">
      <c r="A159" s="51">
        <f>B159-$A$2</f>
        <v/>
      </c>
      <c r="B159" s="3" t="n">
        <v>50648</v>
      </c>
      <c r="C159" s="54" t="n"/>
      <c r="D159" s="54" t="n">
        <v>1083.291539634147</v>
      </c>
      <c r="E159" s="54" t="n"/>
      <c r="F159" s="54" t="n"/>
      <c r="G159" s="54" t="n"/>
      <c r="H159" s="54" t="n"/>
    </row>
    <row r="160">
      <c r="A160" s="51">
        <f>B160-$A$2</f>
        <v/>
      </c>
      <c r="B160" s="3" t="n">
        <v>50678</v>
      </c>
      <c r="C160" s="54" t="n"/>
      <c r="D160" s="54" t="n">
        <v>1083.291539634147</v>
      </c>
      <c r="E160" s="54" t="n"/>
      <c r="F160" s="54" t="n"/>
      <c r="G160" s="54" t="n"/>
      <c r="H160" s="54" t="n"/>
    </row>
    <row r="161">
      <c r="A161" s="51">
        <f>B161-$A$2</f>
        <v/>
      </c>
      <c r="B161" s="3" t="n">
        <v>50709</v>
      </c>
      <c r="C161" s="54" t="n"/>
      <c r="D161" s="54" t="n">
        <v>1083.291539634147</v>
      </c>
      <c r="E161" s="54" t="n"/>
      <c r="F161" s="54" t="n"/>
      <c r="G161" s="54" t="n"/>
      <c r="H161" s="54" t="n"/>
    </row>
    <row r="162">
      <c r="A162" s="51">
        <f>B162-$A$2</f>
        <v/>
      </c>
      <c r="B162" s="3" t="n">
        <v>50739</v>
      </c>
      <c r="C162" s="54" t="n"/>
      <c r="D162" s="54" t="n">
        <v>1083.291539634147</v>
      </c>
      <c r="E162" s="54" t="n"/>
      <c r="F162" s="54" t="n"/>
      <c r="G162" s="54" t="n"/>
      <c r="H162" s="54" t="n"/>
    </row>
    <row r="163">
      <c r="A163" s="51">
        <f>B163-$A$2</f>
        <v/>
      </c>
      <c r="B163" s="3" t="n">
        <v>50770</v>
      </c>
      <c r="C163" s="54" t="n"/>
      <c r="D163" s="54" t="n">
        <v>1083.291539634147</v>
      </c>
      <c r="E163" s="54" t="n"/>
      <c r="F163" s="54" t="n"/>
      <c r="G163" s="54" t="n"/>
      <c r="H163" s="54" t="n"/>
    </row>
    <row r="164">
      <c r="A164" s="51">
        <f>B164-$A$2</f>
        <v/>
      </c>
      <c r="B164" s="3" t="n">
        <v>50801</v>
      </c>
      <c r="C164" s="54" t="n"/>
      <c r="D164" s="54" t="n">
        <v>1083.291539634147</v>
      </c>
      <c r="E164" s="54" t="n"/>
      <c r="F164" s="54" t="n"/>
      <c r="G164" s="54" t="n"/>
      <c r="H164" s="54" t="n"/>
    </row>
    <row r="165">
      <c r="A165" s="51">
        <f>B165-$A$2</f>
        <v/>
      </c>
      <c r="B165" s="3" t="n">
        <v>50829</v>
      </c>
      <c r="C165" s="54" t="n"/>
      <c r="D165" s="54" t="n">
        <v>1083.291539634147</v>
      </c>
      <c r="E165" s="54" t="n"/>
      <c r="F165" s="54" t="n"/>
      <c r="G165" s="54" t="n"/>
      <c r="H165" s="54" t="n"/>
    </row>
    <row r="166">
      <c r="A166" s="51">
        <f>B166-$A$2</f>
        <v/>
      </c>
      <c r="B166" s="3" t="n">
        <v>50860</v>
      </c>
      <c r="C166" s="54" t="n"/>
      <c r="D166" s="54" t="n">
        <v>1083.291539634147</v>
      </c>
      <c r="E166" s="54" t="n"/>
      <c r="F166" s="54" t="n"/>
      <c r="G166" s="54" t="n"/>
      <c r="H166" s="54" t="n"/>
    </row>
    <row r="167">
      <c r="A167" s="51">
        <f>B167-$A$2</f>
        <v/>
      </c>
      <c r="B167" s="3" t="n">
        <v>50890</v>
      </c>
      <c r="C167" s="54" t="n"/>
      <c r="D167" s="54" t="n">
        <v>1083.291539634147</v>
      </c>
      <c r="E167" s="54" t="n"/>
      <c r="F167" s="54" t="n"/>
      <c r="G167" s="54" t="n"/>
      <c r="H167" s="54" t="n"/>
    </row>
    <row r="168">
      <c r="A168" s="51">
        <f>B168-$A$2</f>
        <v/>
      </c>
      <c r="B168" s="3" t="n">
        <v>50921</v>
      </c>
      <c r="C168" s="54" t="n"/>
      <c r="D168" s="54" t="n">
        <v>1083.291539634147</v>
      </c>
      <c r="E168" s="54" t="n"/>
      <c r="F168" s="54" t="n"/>
      <c r="G168" s="54" t="n"/>
      <c r="H168" s="54" t="n"/>
    </row>
    <row r="169">
      <c r="A169" s="51">
        <f>B169-$A$2</f>
        <v/>
      </c>
      <c r="B169" s="3" t="n">
        <v>50951</v>
      </c>
      <c r="C169" s="54" t="n"/>
      <c r="D169" s="54" t="n">
        <v>1083.291539634147</v>
      </c>
      <c r="E169" s="54" t="n"/>
      <c r="F169" s="54" t="n"/>
      <c r="G169" s="54" t="n"/>
      <c r="H169" s="54" t="n"/>
    </row>
    <row r="170">
      <c r="A170" s="51">
        <f>B170-$A$2</f>
        <v/>
      </c>
      <c r="B170" s="3" t="n">
        <v>50982</v>
      </c>
      <c r="C170" s="54" t="n"/>
      <c r="D170" s="54" t="n">
        <v>1083.291539634147</v>
      </c>
      <c r="E170" s="54" t="n"/>
      <c r="F170" s="54" t="n"/>
      <c r="G170" s="54" t="n"/>
      <c r="H170" s="54" t="n"/>
    </row>
    <row r="171">
      <c r="A171" s="51">
        <f>B171-$A$2</f>
        <v/>
      </c>
      <c r="B171" s="3" t="n">
        <v>51013</v>
      </c>
      <c r="C171" s="54" t="n"/>
      <c r="D171" s="54" t="n">
        <v>1083.291539634147</v>
      </c>
      <c r="E171" s="54" t="n"/>
      <c r="F171" s="54" t="n"/>
      <c r="G171" s="54" t="n"/>
      <c r="H171" s="54" t="n"/>
    </row>
    <row r="172">
      <c r="A172" s="51">
        <f>B172-$A$2</f>
        <v/>
      </c>
      <c r="B172" s="3" t="n">
        <v>51043</v>
      </c>
      <c r="C172" s="54" t="n"/>
      <c r="D172" s="54" t="n">
        <v>1083.291539634147</v>
      </c>
      <c r="E172" s="54" t="n"/>
      <c r="F172" s="54" t="n"/>
      <c r="G172" s="54" t="n"/>
      <c r="H172" s="54" t="n"/>
    </row>
    <row r="173">
      <c r="A173" s="51">
        <f>B173-$A$2</f>
        <v/>
      </c>
      <c r="B173" s="3" t="n">
        <v>51074</v>
      </c>
      <c r="C173" s="54" t="n"/>
      <c r="D173" s="54" t="n">
        <v>1083.291539634147</v>
      </c>
      <c r="E173" s="54" t="n"/>
      <c r="F173" s="54" t="n"/>
      <c r="G173" s="54" t="n"/>
      <c r="H173" s="54" t="n"/>
    </row>
    <row r="174">
      <c r="A174" s="51">
        <f>B174-$A$2</f>
        <v/>
      </c>
      <c r="B174" s="3" t="n">
        <v>51104</v>
      </c>
      <c r="C174" s="54" t="n"/>
      <c r="D174" s="54" t="n">
        <v>1083.291539634147</v>
      </c>
      <c r="E174" s="54" t="n"/>
      <c r="F174" s="54" t="n"/>
      <c r="G174" s="54" t="n"/>
      <c r="H174" s="54" t="n"/>
    </row>
    <row r="175">
      <c r="A175" s="51">
        <f>B175-$A$2</f>
        <v/>
      </c>
      <c r="B175" s="3" t="n">
        <v>51135</v>
      </c>
      <c r="C175" s="54" t="n"/>
      <c r="D175" s="54" t="n">
        <v>1083.291539634147</v>
      </c>
      <c r="E175" s="54" t="n"/>
      <c r="F175" s="54" t="n"/>
      <c r="G175" s="54" t="n"/>
      <c r="H175" s="54" t="n"/>
    </row>
    <row r="176">
      <c r="A176" s="51">
        <f>B176-$A$2</f>
        <v/>
      </c>
      <c r="B176" s="3" t="n">
        <v>51166</v>
      </c>
      <c r="C176" s="54" t="n"/>
      <c r="D176" s="54" t="n">
        <v>1083.291539634147</v>
      </c>
      <c r="E176" s="54" t="n"/>
      <c r="F176" s="54" t="n"/>
      <c r="G176" s="54" t="n"/>
      <c r="H176" s="54" t="n"/>
    </row>
    <row r="177">
      <c r="A177" s="51">
        <f>B177-$A$2</f>
        <v/>
      </c>
      <c r="B177" s="3" t="n">
        <v>51195</v>
      </c>
      <c r="C177" s="54" t="n"/>
      <c r="D177" s="54" t="n">
        <v>1083.291539634147</v>
      </c>
      <c r="E177" s="54" t="n"/>
      <c r="F177" s="54" t="n"/>
      <c r="G177" s="54" t="n"/>
      <c r="H177" s="54" t="n"/>
    </row>
    <row r="178">
      <c r="A178" s="51">
        <f>B178-$A$2</f>
        <v/>
      </c>
      <c r="B178" s="3" t="n">
        <v>51226</v>
      </c>
      <c r="C178" s="54" t="n"/>
      <c r="D178" s="54" t="n">
        <v>1083.291539634147</v>
      </c>
      <c r="E178" s="54" t="n"/>
      <c r="F178" s="54" t="n"/>
      <c r="G178" s="54" t="n"/>
      <c r="H178" s="54" t="n"/>
    </row>
    <row r="179">
      <c r="A179" s="51">
        <f>B179-$A$2</f>
        <v/>
      </c>
      <c r="B179" s="3" t="n">
        <v>51256</v>
      </c>
      <c r="C179" s="54" t="n"/>
      <c r="D179" s="54" t="n">
        <v>1083.291539634147</v>
      </c>
      <c r="E179" s="54" t="n"/>
      <c r="F179" s="54" t="n"/>
      <c r="G179" s="54" t="n"/>
      <c r="H179" s="54" t="n"/>
    </row>
    <row r="180">
      <c r="A180" s="51">
        <f>B180-$A$2</f>
        <v/>
      </c>
      <c r="B180" s="3" t="n">
        <v>51287</v>
      </c>
      <c r="C180" s="54" t="n"/>
      <c r="D180" s="54" t="n">
        <v>1083.291539634147</v>
      </c>
      <c r="E180" s="54" t="n"/>
      <c r="F180" s="54" t="n"/>
      <c r="G180" s="54" t="n"/>
      <c r="H180" s="54" t="n"/>
    </row>
    <row r="181">
      <c r="A181" s="51">
        <f>B181-$A$2</f>
        <v/>
      </c>
      <c r="B181" s="3" t="n">
        <v>51317</v>
      </c>
      <c r="C181" s="54" t="n"/>
      <c r="D181" s="54" t="n">
        <v>1083.291539634147</v>
      </c>
      <c r="E181" s="54" t="n"/>
      <c r="F181" s="54" t="n"/>
      <c r="G181" s="54" t="n"/>
      <c r="H181" s="54" t="n"/>
    </row>
    <row r="182">
      <c r="A182" s="51">
        <f>B182-$A$2</f>
        <v/>
      </c>
      <c r="B182" s="3" t="n">
        <v>51348</v>
      </c>
      <c r="C182" s="54" t="n"/>
      <c r="D182" s="54" t="n">
        <v>1083.291539634147</v>
      </c>
      <c r="E182" s="54" t="n"/>
      <c r="F182" s="54" t="n"/>
      <c r="G182" s="54" t="n"/>
      <c r="H182" s="54" t="n"/>
    </row>
    <row r="183">
      <c r="A183" s="51">
        <f>B183-$A$2</f>
        <v/>
      </c>
      <c r="B183" s="3" t="n">
        <v>51379</v>
      </c>
      <c r="C183" s="54" t="n"/>
      <c r="D183" s="54" t="n">
        <v>1083.291539634147</v>
      </c>
      <c r="E183" s="54" t="n"/>
      <c r="F183" s="54" t="n"/>
      <c r="G183" s="54" t="n"/>
      <c r="H183" s="54" t="n"/>
    </row>
    <row r="184">
      <c r="A184" s="51">
        <f>B184-$A$2</f>
        <v/>
      </c>
      <c r="B184" s="3" t="n">
        <v>51409</v>
      </c>
      <c r="C184" s="54" t="n"/>
      <c r="D184" s="54" t="n">
        <v>1083.291539634147</v>
      </c>
      <c r="E184" s="54" t="n"/>
      <c r="F184" s="54" t="n"/>
      <c r="G184" s="54" t="n"/>
      <c r="H184" s="54" t="n"/>
    </row>
    <row r="185">
      <c r="A185" s="51">
        <f>B185-$A$2</f>
        <v/>
      </c>
      <c r="B185" s="3" t="n">
        <v>51440</v>
      </c>
      <c r="C185" s="54" t="n"/>
      <c r="D185" s="54" t="n">
        <v>1083.291539634147</v>
      </c>
      <c r="E185" s="54" t="n"/>
      <c r="F185" s="54" t="n"/>
      <c r="G185" s="54" t="n"/>
      <c r="H185" s="54" t="n"/>
    </row>
    <row r="186">
      <c r="A186" s="51">
        <f>B186-$A$2</f>
        <v/>
      </c>
      <c r="B186" s="3" t="n">
        <v>51470</v>
      </c>
      <c r="C186" s="54" t="n"/>
      <c r="D186" s="54" t="n">
        <v>1083.291539634147</v>
      </c>
      <c r="E186" s="54" t="n"/>
      <c r="F186" s="54" t="n"/>
      <c r="G186" s="54" t="n"/>
      <c r="H186" s="54" t="n"/>
    </row>
    <row r="187">
      <c r="A187" s="51">
        <f>B187-$A$2</f>
        <v/>
      </c>
      <c r="B187" s="3" t="n">
        <v>51501</v>
      </c>
      <c r="C187" s="54" t="n"/>
      <c r="D187" s="54" t="n">
        <v>1083.291539634147</v>
      </c>
      <c r="E187" s="54" t="n"/>
      <c r="F187" s="54" t="n"/>
      <c r="G187" s="54" t="n"/>
      <c r="H187" s="54" t="n"/>
    </row>
    <row r="188">
      <c r="A188" s="51">
        <f>B188-$A$2</f>
        <v/>
      </c>
      <c r="B188" s="3" t="n">
        <v>51532</v>
      </c>
      <c r="C188" s="54" t="n"/>
      <c r="D188" s="54" t="n">
        <v>1083.291539634147</v>
      </c>
      <c r="E188" s="54" t="n"/>
      <c r="F188" s="54" t="n"/>
      <c r="G188" s="54" t="n"/>
      <c r="H188" s="54" t="n"/>
    </row>
    <row r="189">
      <c r="A189" s="51">
        <f>B189-$A$2</f>
        <v/>
      </c>
      <c r="B189" s="3" t="n">
        <v>51560</v>
      </c>
      <c r="C189" s="54" t="n"/>
      <c r="D189" s="54" t="n">
        <v>1083.291539634147</v>
      </c>
      <c r="E189" s="54" t="n"/>
      <c r="F189" s="54" t="n"/>
      <c r="G189" s="54" t="n"/>
      <c r="H189" s="54" t="n"/>
    </row>
    <row r="190">
      <c r="A190" s="51">
        <f>B190-$A$2</f>
        <v/>
      </c>
      <c r="B190" s="3" t="n">
        <v>51591</v>
      </c>
      <c r="C190" s="54" t="n"/>
      <c r="D190" s="54" t="n">
        <v>1083.291539634147</v>
      </c>
      <c r="E190" s="54" t="n"/>
      <c r="F190" s="54" t="n"/>
      <c r="G190" s="54" t="n"/>
      <c r="H190" s="54" t="n"/>
    </row>
    <row r="191">
      <c r="A191" s="51">
        <f>B191-$A$2</f>
        <v/>
      </c>
      <c r="B191" s="3" t="n">
        <v>51621</v>
      </c>
      <c r="C191" s="54" t="n"/>
      <c r="D191" s="54" t="n">
        <v>1083.291539634147</v>
      </c>
      <c r="E191" s="54" t="n"/>
      <c r="F191" s="54" t="n"/>
      <c r="G191" s="54" t="n"/>
      <c r="H191" s="54" t="n"/>
    </row>
    <row r="192">
      <c r="A192" s="51">
        <f>B192-$A$2</f>
        <v/>
      </c>
      <c r="B192" s="3" t="n">
        <v>51652</v>
      </c>
      <c r="C192" s="54" t="n"/>
      <c r="D192" s="54" t="n">
        <v>1083.291539634147</v>
      </c>
      <c r="E192" s="54" t="n"/>
      <c r="F192" s="54" t="n"/>
      <c r="G192" s="54" t="n"/>
      <c r="H192" s="54" t="n"/>
    </row>
    <row r="193">
      <c r="A193" s="51">
        <f>B193-$A$2</f>
        <v/>
      </c>
      <c r="B193" s="3" t="n">
        <v>51682</v>
      </c>
      <c r="C193" s="54" t="n"/>
      <c r="D193" s="54" t="n">
        <v>1083.291539634147</v>
      </c>
      <c r="E193" s="54" t="n"/>
      <c r="F193" s="54" t="n"/>
      <c r="G193" s="54" t="n"/>
      <c r="H193" s="54" t="n"/>
    </row>
    <row r="194">
      <c r="A194" s="51">
        <f>B194-$A$2</f>
        <v/>
      </c>
      <c r="B194" s="3" t="n">
        <v>51713</v>
      </c>
      <c r="C194" s="54" t="n"/>
      <c r="D194" s="54" t="n">
        <v>1083.291539634147</v>
      </c>
      <c r="E194" s="54" t="n"/>
      <c r="F194" s="54" t="n"/>
      <c r="G194" s="54" t="n"/>
      <c r="H194" s="54" t="n"/>
    </row>
    <row r="195">
      <c r="A195" s="51">
        <f>B195-$A$2</f>
        <v/>
      </c>
      <c r="B195" s="3" t="n">
        <v>51744</v>
      </c>
      <c r="C195" s="54" t="n"/>
      <c r="D195" s="54" t="n">
        <v>1083.291539634147</v>
      </c>
      <c r="E195" s="54" t="n"/>
      <c r="F195" s="54" t="n"/>
      <c r="G195" s="54" t="n"/>
      <c r="H195" s="54" t="n"/>
    </row>
    <row r="196">
      <c r="A196" s="51">
        <f>B196-$A$2</f>
        <v/>
      </c>
      <c r="B196" s="3" t="n">
        <v>51774</v>
      </c>
      <c r="C196" s="54" t="n"/>
      <c r="D196" s="54" t="n">
        <v>1083.291539634147</v>
      </c>
      <c r="E196" s="54" t="n"/>
      <c r="F196" s="54" t="n"/>
      <c r="G196" s="54" t="n"/>
      <c r="H196" s="54" t="n"/>
    </row>
    <row r="197">
      <c r="A197" s="51">
        <f>B197-$A$2</f>
        <v/>
      </c>
      <c r="B197" s="3" t="n">
        <v>51805</v>
      </c>
      <c r="C197" s="54" t="n"/>
      <c r="D197" s="54" t="n">
        <v>1083.291539634147</v>
      </c>
      <c r="E197" s="54" t="n"/>
      <c r="F197" s="54" t="n"/>
      <c r="G197" s="54" t="n"/>
      <c r="H197" s="54" t="n"/>
    </row>
    <row r="198">
      <c r="A198" s="51">
        <f>B198-$A$2</f>
        <v/>
      </c>
      <c r="B198" s="3" t="n">
        <v>51835</v>
      </c>
      <c r="C198" s="54" t="n"/>
      <c r="D198" s="54" t="n">
        <v>1083.291539634147</v>
      </c>
      <c r="E198" s="54" t="n"/>
      <c r="F198" s="54" t="n"/>
      <c r="G198" s="54" t="n"/>
      <c r="H198" s="54" t="n"/>
    </row>
    <row r="199">
      <c r="A199" s="51">
        <f>B199-$A$2</f>
        <v/>
      </c>
      <c r="B199" s="3" t="n">
        <v>51866</v>
      </c>
      <c r="C199" s="54" t="n"/>
      <c r="D199" s="54" t="n">
        <v>1083.291539634147</v>
      </c>
      <c r="E199" s="54" t="n"/>
      <c r="F199" s="54" t="n"/>
      <c r="G199" s="54" t="n"/>
      <c r="H199" s="54" t="n"/>
    </row>
    <row r="200">
      <c r="A200" s="51">
        <f>B200-$A$2</f>
        <v/>
      </c>
      <c r="B200" s="3" t="n">
        <v>51897</v>
      </c>
      <c r="C200" s="54" t="n"/>
      <c r="D200" s="54" t="n">
        <v>1083.291539634147</v>
      </c>
      <c r="E200" s="54" t="n"/>
      <c r="F200" s="54" t="n"/>
      <c r="G200" s="54" t="n"/>
      <c r="H200" s="54" t="n"/>
    </row>
    <row r="201">
      <c r="A201" s="51">
        <f>B201-$A$2</f>
        <v/>
      </c>
      <c r="B201" s="3" t="n">
        <v>51925</v>
      </c>
      <c r="C201" s="54" t="n"/>
      <c r="D201" s="54" t="n">
        <v>1083.291539634147</v>
      </c>
      <c r="E201" s="54" t="n"/>
      <c r="F201" s="54" t="n"/>
      <c r="G201" s="54" t="n"/>
      <c r="H201" s="54" t="n"/>
    </row>
    <row r="202">
      <c r="A202" s="51">
        <f>B202-$A$2</f>
        <v/>
      </c>
      <c r="B202" s="3" t="n">
        <v>51956</v>
      </c>
      <c r="C202" s="54" t="n"/>
      <c r="D202" s="54" t="n">
        <v>1083.291539634147</v>
      </c>
      <c r="E202" s="54" t="n"/>
      <c r="F202" s="54" t="n"/>
      <c r="G202" s="54" t="n"/>
      <c r="H202" s="54" t="n"/>
    </row>
    <row r="203">
      <c r="A203" s="51">
        <f>B203-$A$2</f>
        <v/>
      </c>
      <c r="B203" s="3" t="n">
        <v>51986</v>
      </c>
      <c r="C203" s="54" t="n"/>
      <c r="D203" s="54" t="n">
        <v>1083.291539634147</v>
      </c>
      <c r="E203" s="54" t="n"/>
      <c r="F203" s="54" t="n"/>
      <c r="G203" s="54" t="n"/>
      <c r="H203" s="54" t="n"/>
    </row>
    <row r="204">
      <c r="A204" s="51">
        <f>B204-$A$2</f>
        <v/>
      </c>
      <c r="B204" s="3" t="n">
        <v>52017</v>
      </c>
      <c r="C204" s="54" t="n"/>
      <c r="D204" s="54" t="n">
        <v>1083.291539634147</v>
      </c>
      <c r="E204" s="54" t="n"/>
      <c r="F204" s="54" t="n"/>
      <c r="G204" s="54" t="n"/>
      <c r="H204" s="54" t="n"/>
    </row>
    <row r="205">
      <c r="A205" s="51">
        <f>B205-$A$2</f>
        <v/>
      </c>
      <c r="B205" s="3" t="n">
        <v>52047</v>
      </c>
      <c r="C205" s="54" t="n"/>
      <c r="D205" s="54" t="n">
        <v>1083.291539634147</v>
      </c>
      <c r="E205" s="54" t="n"/>
      <c r="F205" s="54" t="n"/>
      <c r="G205" s="54" t="n"/>
      <c r="H205" s="54" t="n"/>
    </row>
    <row r="206">
      <c r="A206" s="51">
        <f>B206-$A$2</f>
        <v/>
      </c>
      <c r="B206" s="3" t="n">
        <v>52078</v>
      </c>
      <c r="C206" s="54" t="n"/>
      <c r="D206" s="54" t="n">
        <v>1083.291539634147</v>
      </c>
      <c r="E206" s="54" t="n"/>
      <c r="F206" s="54" t="n"/>
      <c r="G206" s="54" t="n"/>
      <c r="H206" s="54" t="n"/>
    </row>
    <row r="207">
      <c r="A207" s="51">
        <f>B207-$A$2</f>
        <v/>
      </c>
      <c r="B207" s="3" t="n">
        <v>52109</v>
      </c>
      <c r="C207" s="54" t="n"/>
      <c r="D207" s="54" t="n">
        <v>1083.291539634147</v>
      </c>
      <c r="E207" s="54" t="n"/>
      <c r="F207" s="54" t="n"/>
      <c r="G207" s="54" t="n"/>
      <c r="H207" s="54" t="n"/>
    </row>
    <row r="208">
      <c r="A208" s="51">
        <f>B208-$A$2</f>
        <v/>
      </c>
      <c r="B208" s="3" t="n">
        <v>52139</v>
      </c>
      <c r="C208" s="54" t="n"/>
      <c r="D208" s="54" t="n">
        <v>1083.291539634147</v>
      </c>
      <c r="E208" s="54" t="n"/>
      <c r="F208" s="54" t="n"/>
      <c r="G208" s="54" t="n"/>
      <c r="H208" s="54" t="n"/>
    </row>
  </sheetData>
  <conditionalFormatting sqref="Q36:Q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6:S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F25"/>
  <sheetViews>
    <sheetView workbookViewId="0">
      <selection activeCell="B29" sqref="B29"/>
    </sheetView>
  </sheetViews>
  <sheetFormatPr baseColWidth="10" defaultRowHeight="14.5"/>
  <cols>
    <col width="45.7265625" customWidth="1" min="1" max="1"/>
    <col width="45.26953125" bestFit="1" customWidth="1" min="2" max="2"/>
    <col width="16.81640625" bestFit="1" customWidth="1" min="3" max="3"/>
    <col width="11.81640625" bestFit="1" customWidth="1" min="4" max="4"/>
    <col width="16.6328125" bestFit="1" customWidth="1" min="5" max="6"/>
  </cols>
  <sheetData>
    <row r="1">
      <c r="A1" t="inlineStr">
        <is>
          <t>CODIGO_PRODUCTO</t>
        </is>
      </c>
      <c r="B1" t="inlineStr">
        <is>
          <t>COD_SUB_PRO</t>
        </is>
      </c>
      <c r="C1" t="inlineStr">
        <is>
          <t>FLUJO_MO</t>
        </is>
      </c>
      <c r="D1" t="inlineStr">
        <is>
          <t>PMP</t>
        </is>
      </c>
      <c r="E1" t="inlineStr">
        <is>
          <t>MIN_FECHA_PAGO</t>
        </is>
      </c>
      <c r="F1" t="inlineStr">
        <is>
          <t>MAX_FECHA_PAGO</t>
        </is>
      </c>
    </row>
    <row r="2">
      <c r="A2" t="inlineStr">
        <is>
          <t>MDL_MT_R13_CTA. CORRIENTE</t>
        </is>
      </c>
      <c r="B2" t="inlineStr">
        <is>
          <t>MDL_MT_R13_CTA. CORRIENTE PERSONAS_CORE</t>
        </is>
      </c>
      <c r="C2" t="n">
        <v>930870422516.3002</v>
      </c>
      <c r="D2" t="n">
        <v>4.4215235</v>
      </c>
      <c r="E2" s="72" t="n">
        <v>45930</v>
      </c>
      <c r="F2" s="72" t="n">
        <v>48152</v>
      </c>
    </row>
    <row r="3">
      <c r="A3" t="inlineStr">
        <is>
          <t>MDL_MT_R13_CTA. CORRIENTE</t>
        </is>
      </c>
      <c r="B3" t="inlineStr">
        <is>
          <t>MDL_MT_R13_CTA. CORRIENTE PERSONAS_NONCORE</t>
        </is>
      </c>
      <c r="C3" t="n">
        <v>398944466792.7001</v>
      </c>
      <c r="D3" t="n">
        <v>0</v>
      </c>
      <c r="E3" s="72" t="n">
        <v>45924</v>
      </c>
      <c r="F3" s="72" t="n">
        <v>45924</v>
      </c>
    </row>
    <row r="4">
      <c r="A4" t="inlineStr">
        <is>
          <t>MDL_MT_R13_CTA. CORRIENTE PERSONAS_CORE</t>
        </is>
      </c>
      <c r="B4" t="inlineStr">
        <is>
          <t>MDL_MT_R13_CTA. CORRIENTE PERSONAS_CORE</t>
        </is>
      </c>
      <c r="C4" t="n">
        <v>930870422516.2999</v>
      </c>
      <c r="D4" t="n">
        <v>0</v>
      </c>
      <c r="E4" s="72" t="n">
        <v>45924</v>
      </c>
      <c r="F4" s="72" t="n">
        <v>45924</v>
      </c>
    </row>
    <row r="5">
      <c r="A5" t="inlineStr">
        <is>
          <t>MDL_MT_R13_CTA. CORRIENTE PERSONAS_NONCORE</t>
        </is>
      </c>
      <c r="B5" t="inlineStr">
        <is>
          <t>MDL_MT_R13_CTA. CORRIENTE PERSONAS_NONCORE</t>
        </is>
      </c>
      <c r="C5" t="n">
        <v>398944466792.7001</v>
      </c>
      <c r="D5" t="n">
        <v>0</v>
      </c>
      <c r="E5" s="72" t="n">
        <v>45924</v>
      </c>
      <c r="F5" s="72" t="n">
        <v>45924</v>
      </c>
    </row>
    <row r="6">
      <c r="A6" t="inlineStr">
        <is>
          <t>MDL_MT_R13_CTA. VISTA</t>
        </is>
      </c>
      <c r="B6" t="inlineStr">
        <is>
          <t>MDL_MT_R13_CTA. VISTA_CORE</t>
        </is>
      </c>
      <c r="C6" t="n">
        <v>108377379629.4</v>
      </c>
      <c r="D6" t="n">
        <v>4.402238</v>
      </c>
      <c r="E6" s="72" t="n">
        <v>45930</v>
      </c>
      <c r="F6" s="72" t="n">
        <v>49187</v>
      </c>
    </row>
    <row r="7">
      <c r="A7" t="inlineStr">
        <is>
          <t>MDL_MT_R13_CTA. VISTA</t>
        </is>
      </c>
      <c r="B7" t="inlineStr">
        <is>
          <t>MDL_MT_R13_CTA. VISTA_NONCORE</t>
        </is>
      </c>
      <c r="C7" t="n">
        <v>46447448412.60001</v>
      </c>
      <c r="D7" t="n">
        <v>0</v>
      </c>
      <c r="E7" s="72" t="n">
        <v>45924</v>
      </c>
      <c r="F7" s="72" t="n">
        <v>45924</v>
      </c>
    </row>
    <row r="8">
      <c r="A8" t="inlineStr">
        <is>
          <t>MDL_MT_R13_CTA. VISTA_CORE</t>
        </is>
      </c>
      <c r="B8" t="inlineStr">
        <is>
          <t>MDL_MT_R13_CTA. VISTA_CORE</t>
        </is>
      </c>
      <c r="C8" t="n">
        <v>108377379629.4</v>
      </c>
      <c r="D8" t="n">
        <v>0</v>
      </c>
      <c r="E8" s="72" t="n">
        <v>45924</v>
      </c>
      <c r="F8" s="72" t="n">
        <v>45924</v>
      </c>
    </row>
    <row r="9">
      <c r="A9" t="inlineStr">
        <is>
          <t>MDL_MT_R13_CTA. VISTA_NONCORE</t>
        </is>
      </c>
      <c r="B9" t="inlineStr">
        <is>
          <t>MDL_MT_R13_CTA. VISTA_NONCORE</t>
        </is>
      </c>
      <c r="C9" t="n">
        <v>46447448412.60001</v>
      </c>
      <c r="D9" t="n">
        <v>0</v>
      </c>
      <c r="E9" s="72" t="n">
        <v>45924</v>
      </c>
      <c r="F9" s="72" t="n">
        <v>45924</v>
      </c>
    </row>
    <row r="10">
      <c r="A10" t="inlineStr">
        <is>
          <t>MDL_MT_R13_CTA. AHORRO</t>
        </is>
      </c>
      <c r="B10" t="inlineStr">
        <is>
          <t>MDL_MT_R13_CTA. AHORRO G.DIF_CORE</t>
        </is>
      </c>
      <c r="C10" t="n">
        <v>3131536.884994928</v>
      </c>
      <c r="D10" t="n">
        <v>4.374301583333333</v>
      </c>
      <c r="E10" s="72" t="n">
        <v>45930</v>
      </c>
      <c r="F10" s="72" t="n">
        <v>48029</v>
      </c>
    </row>
    <row r="11">
      <c r="A11" t="inlineStr">
        <is>
          <t>MDL_MT_R13_CTA. AHORRO</t>
        </is>
      </c>
      <c r="B11" t="inlineStr">
        <is>
          <t>MDL_MT_R13_CTA. AHORRO G.DIF_NONCORE</t>
        </is>
      </c>
      <c r="C11" t="n">
        <v>1342087.236426398</v>
      </c>
      <c r="D11" t="n">
        <v>0</v>
      </c>
      <c r="E11" s="72" t="n">
        <v>45924</v>
      </c>
      <c r="F11" s="72" t="n">
        <v>45924</v>
      </c>
    </row>
    <row r="12">
      <c r="A12" t="inlineStr">
        <is>
          <t>MDL_MT_R13_CTA. AHORRO</t>
        </is>
      </c>
      <c r="B12" t="inlineStr">
        <is>
          <t>MDL_MT_R13_CTA. AHORRO G.INC_CORE</t>
        </is>
      </c>
      <c r="C12" t="n">
        <v>768773.9676566044</v>
      </c>
      <c r="D12" t="n">
        <v>4.360801916666666</v>
      </c>
      <c r="E12" s="72" t="n">
        <v>45930</v>
      </c>
      <c r="F12" s="72" t="n">
        <v>48029</v>
      </c>
    </row>
    <row r="13">
      <c r="A13" t="inlineStr">
        <is>
          <t>MDL_MT_R13_CTA. AHORRO</t>
        </is>
      </c>
      <c r="B13" t="inlineStr">
        <is>
          <t>MDL_MT_R13_CTA. AHORRO G.INC_NONCORE</t>
        </is>
      </c>
      <c r="C13" t="n">
        <v>329474.5575671161</v>
      </c>
      <c r="D13" t="n">
        <v>0</v>
      </c>
      <c r="E13" s="72" t="n">
        <v>45924</v>
      </c>
      <c r="F13" s="72" t="n">
        <v>45924</v>
      </c>
    </row>
    <row r="14">
      <c r="A14" t="inlineStr">
        <is>
          <t>MDL_MT_R13_CTA. AHORRO G.DIF_CORE</t>
        </is>
      </c>
      <c r="B14" t="inlineStr">
        <is>
          <t>MDL_MT_R13_CTA. AHORRO G.DIF_CORE</t>
        </is>
      </c>
      <c r="C14" t="n">
        <v>3131536.884994929</v>
      </c>
      <c r="D14" t="n">
        <v>0</v>
      </c>
      <c r="E14" s="72" t="n">
        <v>45924</v>
      </c>
      <c r="F14" s="72" t="n">
        <v>45924</v>
      </c>
    </row>
    <row r="15">
      <c r="A15" t="inlineStr">
        <is>
          <t>MDL_MT_R13_CTA. AHORRO G.DIF_NONCORE</t>
        </is>
      </c>
      <c r="B15" t="inlineStr">
        <is>
          <t>MDL_MT_R13_CTA. AHORRO G.DIF_NONCORE</t>
        </is>
      </c>
      <c r="C15" t="n">
        <v>1342087.236426398</v>
      </c>
      <c r="D15" t="n">
        <v>0</v>
      </c>
      <c r="E15" s="72" t="n">
        <v>45924</v>
      </c>
      <c r="F15" s="72" t="n">
        <v>45924</v>
      </c>
    </row>
    <row r="16">
      <c r="A16" t="inlineStr">
        <is>
          <t>MDL_MT_R13_CTA. AHORRO G.INC_CORE</t>
        </is>
      </c>
      <c r="B16" t="inlineStr">
        <is>
          <t>MDL_MT_R13_CTA. AHORRO G.INC_CORE</t>
        </is>
      </c>
      <c r="C16" t="n">
        <v>768773.9676566042</v>
      </c>
      <c r="D16" t="n">
        <v>0</v>
      </c>
      <c r="E16" s="72" t="n">
        <v>45924</v>
      </c>
      <c r="F16" s="72" t="n">
        <v>45924</v>
      </c>
    </row>
    <row r="17">
      <c r="A17" t="inlineStr">
        <is>
          <t>MDL_MT_R13_CTA. AHORRO G.INC_NONCORE</t>
        </is>
      </c>
      <c r="B17" t="inlineStr">
        <is>
          <t>MDL_MT_R13_CTA. AHORRO G.INC_NONCORE</t>
        </is>
      </c>
      <c r="C17" t="n">
        <v>329474.5575671161</v>
      </c>
      <c r="D17" t="n">
        <v>0</v>
      </c>
      <c r="E17" s="72" t="n">
        <v>45924</v>
      </c>
      <c r="F17" s="72" t="n">
        <v>45924</v>
      </c>
    </row>
    <row r="18">
      <c r="A18" t="inlineStr">
        <is>
          <t>MDL_MT_CTA. CORRIENTE</t>
        </is>
      </c>
      <c r="B18" t="inlineStr">
        <is>
          <t>MDL_CTA. CORRIENTE PERSONAS_CORE_CORE</t>
        </is>
      </c>
      <c r="C18" t="n">
        <v>1166765000000</v>
      </c>
      <c r="D18" t="n">
        <v>1.44640830903076</v>
      </c>
      <c r="E18" s="72" t="n">
        <v>45930</v>
      </c>
      <c r="F18" s="72" t="n">
        <v>47177</v>
      </c>
    </row>
    <row r="19">
      <c r="A19" t="inlineStr">
        <is>
          <t>MDL_MT_CTA. CORRIENTE</t>
        </is>
      </c>
      <c r="B19" t="inlineStr">
        <is>
          <t>MDL_CTA. CORRIENTE PERSONAS</t>
        </is>
      </c>
      <c r="C19" t="n">
        <v>163049889308.9998</v>
      </c>
      <c r="D19" t="n">
        <v>0</v>
      </c>
      <c r="E19" s="72" t="n">
        <v>45924</v>
      </c>
      <c r="F19" s="72" t="n">
        <v>45924</v>
      </c>
    </row>
    <row r="20">
      <c r="A20" t="inlineStr">
        <is>
          <t>MDL_MT.CTA. VISTA</t>
        </is>
      </c>
      <c r="B20" t="inlineStr">
        <is>
          <t>MDL_CTA. VISTA_CORE_CORE</t>
        </is>
      </c>
      <c r="C20" t="n">
        <v>125122000000</v>
      </c>
      <c r="D20" t="n">
        <v>1.438241515496562</v>
      </c>
      <c r="E20" s="72" t="n">
        <v>45930</v>
      </c>
      <c r="F20" s="72" t="n">
        <v>47177</v>
      </c>
    </row>
    <row r="21">
      <c r="A21" t="inlineStr">
        <is>
          <t>MDL_MT.CTA. VISTA</t>
        </is>
      </c>
      <c r="B21" t="inlineStr">
        <is>
          <t>MDL_CTA. VISTA</t>
        </is>
      </c>
      <c r="C21" t="n">
        <v>29702828042</v>
      </c>
      <c r="D21" t="n">
        <v>0</v>
      </c>
      <c r="E21" s="72" t="n">
        <v>45924</v>
      </c>
      <c r="F21" s="72" t="n">
        <v>45924</v>
      </c>
    </row>
    <row r="22">
      <c r="A22" t="inlineStr">
        <is>
          <t>MDL_MT_CTA. AHORRO</t>
        </is>
      </c>
      <c r="B22" t="inlineStr">
        <is>
          <t>MDL_CTA. AHORRO G.DIF_CORE_CORE</t>
        </is>
      </c>
      <c r="C22" t="n">
        <v>3344784</v>
      </c>
      <c r="D22" t="n">
        <v>5.546376529143959</v>
      </c>
      <c r="E22" s="72" t="n">
        <v>45930</v>
      </c>
      <c r="F22" s="72" t="n">
        <v>52139</v>
      </c>
    </row>
    <row r="23">
      <c r="A23" t="inlineStr">
        <is>
          <t>MDL_MT_CTA. AHORRO</t>
        </is>
      </c>
      <c r="B23" t="inlineStr">
        <is>
          <t>MDL_CTA. AHORRO G.DIF</t>
        </is>
      </c>
      <c r="C23" t="n">
        <v>1128840.121421327</v>
      </c>
      <c r="D23" t="n">
        <v>0</v>
      </c>
      <c r="E23" s="72" t="n">
        <v>45924</v>
      </c>
      <c r="F23" s="72" t="n">
        <v>45924</v>
      </c>
    </row>
    <row r="24">
      <c r="A24" t="inlineStr">
        <is>
          <t>MDL_MT_CTA. AHORRO</t>
        </is>
      </c>
      <c r="B24" t="inlineStr">
        <is>
          <t>MDL_CTA. AHORRO G.INC_CORE_CORE</t>
        </is>
      </c>
      <c r="C24" t="n">
        <v>1055180</v>
      </c>
      <c r="D24" t="n">
        <v>5.342013857627768</v>
      </c>
      <c r="E24" s="72" t="n">
        <v>45930</v>
      </c>
      <c r="F24" s="72" t="n">
        <v>52139</v>
      </c>
    </row>
    <row r="25">
      <c r="A25" t="inlineStr">
        <is>
          <t>MDL_MT_CTA. AHORRO</t>
        </is>
      </c>
      <c r="B25" t="inlineStr">
        <is>
          <t>MDL_CTA. AHORRO G.INC</t>
        </is>
      </c>
      <c r="C25" t="n">
        <v>43068.52522372059</v>
      </c>
      <c r="D25" t="n">
        <v>0</v>
      </c>
      <c r="E25" s="72" t="n">
        <v>45924</v>
      </c>
      <c r="F25" s="72" t="n">
        <v>45924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Rodrigo Ignacio Muñoz Bozo</dc:creator>
  <dcterms:created xsi:type="dcterms:W3CDTF">2025-08-28T20:24:00Z</dcterms:created>
  <dcterms:modified xsi:type="dcterms:W3CDTF">2025-09-24T18:06:35Z</dcterms:modified>
  <cp:lastModifiedBy>Rodrigo Ignacio Muñoz Bozo</cp:lastModifiedBy>
</cp:coreProperties>
</file>